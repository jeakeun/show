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정산" sheetId="1" state="visible" r:id="rId3"/>
    <sheet name="판기록" sheetId="2" state="visible" r:id="rId4"/>
    <sheet name="기타정산" sheetId="3" state="visible" r:id="rId5"/>
  </sheets>
  <definedNames>
    <definedName function="false" hidden="false" localSheetId="1" name="_xlnm.Print_Titles" vbProcedure="false">판기록!$3:$4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<sst xmlns="http://schemas.openxmlformats.org/spreadsheetml/2006/main" count="54" uniqueCount="52">
  <si>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r>
      <rPr>
        <b val="true"/>
        <sz val="18"/>
        <color rgb="FF000000"/>
        <rFont val="WenQuanYi Zen Hei"/>
        <family val="2"/>
      </rPr>
      <t xml:space="preserve">🎴 고스톱 정산표 </t>
    </r>
    <r>
      <rPr>
        <b val="true"/>
        <sz val="18"/>
        <color rgb="FF000000"/>
        <rFont val="맑은 고딕"/>
        <family val="0"/>
        <charset val="1"/>
      </rPr>
      <t xml:space="preserve">(4</t>
    </r>
    <r>
      <rPr>
        <b val="true"/>
        <sz val="18"/>
        <color rgb="FF000000"/>
        <rFont val="WenQuanYi Zen Hei"/>
        <family val="2"/>
      </rPr>
      <t xml:space="preserve">인</t>
    </r>
    <r>
      <rPr>
        <b val="true"/>
        <sz val="18"/>
        <color rgb="FF000000"/>
        <rFont val="맑은 고딕"/>
        <family val="0"/>
        <charset val="1"/>
      </rPr>
      <t xml:space="preserve">)</t>
    </r>
  </si>
  <si>
    <r>
      <rPr>
        <sz val="10"/>
        <color rgb="FF7F7F7F"/>
        <rFont val="WenQuanYi Zen Hei"/>
        <family val="2"/>
      </rPr>
      <t xml:space="preserve">노란 칸만 입력하세요</t>
    </r>
    <r>
      <rPr>
        <sz val="10"/>
        <color rgb="FF7F7F7F"/>
        <rFont val="맑은 고딕"/>
        <family val="0"/>
        <charset val="1"/>
      </rPr>
      <t xml:space="preserve">. </t>
    </r>
    <r>
      <rPr>
        <sz val="10"/>
        <color rgb="FF7F7F7F"/>
        <rFont val="WenQuanYi Zen Hei"/>
        <family val="2"/>
      </rPr>
      <t xml:space="preserve">나머지는 자동 계산됩니다</t>
    </r>
    <r>
      <rPr>
        <sz val="10"/>
        <color rgb="FF7F7F7F"/>
        <rFont val="맑은 고딕"/>
        <family val="0"/>
        <charset val="1"/>
      </rPr>
      <t xml:space="preserve">.</t>
    </r>
  </si>
  <si>
    <t xml:space="preserve">점당 금액</t>
  </si>
  <si>
    <t xml:space="preserve">총 판수</t>
  </si>
  <si>
    <t xml:space="preserve">번호</t>
  </si>
  <si>
    <t xml:space="preserve">이름</t>
  </si>
  <si>
    <t xml:space="preserve">참가</t>
  </si>
  <si>
    <t xml:space="preserve">이긴 판</t>
  </si>
  <si>
    <t xml:space="preserve">쉰 판</t>
  </si>
  <si>
    <t xml:space="preserve">승률</t>
  </si>
  <si>
    <t xml:space="preserve">딴 돈</t>
  </si>
  <si>
    <t xml:space="preserve">잃은 돈</t>
  </si>
  <si>
    <t xml:space="preserve">최종 손익</t>
  </si>
  <si>
    <t xml:space="preserve">순위</t>
  </si>
  <si>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번</t>
    </r>
  </si>
  <si>
    <t xml:space="preserve">철수</t>
  </si>
  <si>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번</t>
    </r>
  </si>
  <si>
    <t xml:space="preserve">영희</t>
  </si>
  <si>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번</t>
    </r>
  </si>
  <si>
    <t xml:space="preserve">민수</t>
  </si>
  <si>
    <r>
      <rPr>
        <sz val="11"/>
        <color rgb="FF000000"/>
        <rFont val="맑은 고딕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번</t>
    </r>
  </si>
  <si>
    <t xml:space="preserve">지훈</t>
  </si>
  <si>
    <r>
      <rPr>
        <b val="true"/>
        <sz val="10"/>
        <color rgb="FF000000"/>
        <rFont val="WenQuanYi Zen Hei"/>
        <family val="2"/>
      </rPr>
      <t xml:space="preserve">합계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최종 손익 합계는 항상 </t>
    </r>
    <r>
      <rPr>
        <b val="true"/>
        <sz val="10"/>
        <color rgb="FF000000"/>
        <rFont val="맑은 고딕"/>
        <family val="0"/>
        <charset val="1"/>
      </rPr>
      <t xml:space="preserve">0</t>
    </r>
    <r>
      <rPr>
        <b val="true"/>
        <sz val="10"/>
        <color rgb="FF000000"/>
        <rFont val="WenQuanYi Zen Hei"/>
        <family val="2"/>
      </rPr>
      <t xml:space="preserve">이어야 정상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</si>
  <si>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사용법</t>
  </si>
  <si>
    <r>
      <rPr>
        <sz val="10"/>
        <color rgb="FF404040"/>
        <rFont val="WenQuanYi Zen Hei"/>
        <family val="2"/>
      </rPr>
      <t xml:space="preserve">① 위 노란 칸에 </t>
    </r>
    <r>
      <rPr>
        <sz val="10"/>
        <color rgb="FF404040"/>
        <rFont val="맑은 고딕"/>
        <family val="0"/>
        <charset val="1"/>
      </rPr>
      <t xml:space="preserve">4</t>
    </r>
    <r>
      <rPr>
        <sz val="10"/>
        <color rgb="FF404040"/>
        <rFont val="WenQuanYi Zen Hei"/>
        <family val="2"/>
      </rPr>
      <t xml:space="preserve">명 이름과 점당 금액을 적어요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</si>
  <si>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sz val="10"/>
        <color rgb="FF404040"/>
        <rFont val="WenQuanYi Zen Hei"/>
        <family val="2"/>
      </rPr>
      <t xml:space="preserve">② 한 판 끝날 때마다 </t>
    </r>
    <r>
      <rPr>
        <sz val="10"/>
        <color rgb="FF404040"/>
        <rFont val="맑은 고딕"/>
        <family val="0"/>
        <charset val="1"/>
      </rPr>
      <t xml:space="preserve">'</t>
    </r>
    <r>
      <rPr>
        <sz val="10"/>
        <color rgb="FF404040"/>
        <rFont val="WenQuanYi Zen Hei"/>
        <family val="2"/>
      </rPr>
      <t xml:space="preserve">판기록</t>
    </r>
    <r>
      <rPr>
        <sz val="10"/>
        <color rgb="FF404040"/>
        <rFont val="맑은 고딕"/>
        <family val="0"/>
        <charset val="1"/>
      </rPr>
      <t xml:space="preserve">' </t>
    </r>
    <r>
      <rPr>
        <sz val="10"/>
        <color rgb="FF404040"/>
        <rFont val="WenQuanYi Zen Hei"/>
        <family val="2"/>
      </rPr>
      <t xml:space="preserve">시트에 한 줄씩</t>
    </r>
    <r>
      <rPr>
        <sz val="10"/>
        <color rgb="FF404040"/>
        <rFont val="맑은 고딕"/>
        <family val="0"/>
        <charset val="1"/>
      </rPr>
      <t xml:space="preserve">: </t>
    </r>
    <r>
      <rPr>
        <sz val="10"/>
        <color rgb="FF404040"/>
        <rFont val="WenQuanYi Zen Hei"/>
        <family val="2"/>
      </rPr>
      <t xml:space="preserve">승자</t>
    </r>
    <r>
      <rPr>
        <sz val="10"/>
        <color rgb="FF404040"/>
        <rFont val="맑은 고딕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목록 선택</t>
    </r>
    <r>
      <rPr>
        <sz val="10"/>
        <color rgb="FF404040"/>
        <rFont val="맑은 고딕"/>
        <family val="0"/>
        <charset val="1"/>
      </rPr>
      <t xml:space="preserve">) · </t>
    </r>
    <r>
      <rPr>
        <sz val="10"/>
        <color rgb="FF404040"/>
        <rFont val="WenQuanYi Zen Hei"/>
        <family val="2"/>
      </rPr>
      <t xml:space="preserve">점수 </t>
    </r>
    <r>
      <rPr>
        <sz val="10"/>
        <color rgb="FF404040"/>
        <rFont val="맑은 고딕"/>
        <family val="0"/>
        <charset val="1"/>
      </rPr>
      <t xml:space="preserve">· </t>
    </r>
    <r>
      <rPr>
        <sz val="10"/>
        <color rgb="FF404040"/>
        <rFont val="WenQuanYi Zen Hei"/>
        <family val="2"/>
      </rPr>
      <t xml:space="preserve">박</t>
    </r>
    <r>
      <rPr>
        <sz val="10"/>
        <color rgb="FF404040"/>
        <rFont val="맑은 고딕"/>
        <family val="0"/>
        <charset val="1"/>
      </rPr>
      <t xml:space="preserve">/</t>
    </r>
    <r>
      <rPr>
        <sz val="10"/>
        <color rgb="FF404040"/>
        <rFont val="WenQuanYi Zen Hei"/>
        <family val="2"/>
      </rPr>
      <t xml:space="preserve">쉼</t>
    </r>
  </si>
  <si>
    <r>
      <rPr>
        <sz val="10"/>
        <color rgb="FF404040"/>
        <rFont val="맑은 고딕"/>
        <family val="0"/>
        <charset val="1"/>
      </rPr>
      <t xml:space="preserve">    · </t>
    </r>
    <r>
      <rPr>
        <sz val="10"/>
        <color rgb="FF404040"/>
        <rFont val="WenQuanYi Zen Hei"/>
        <family val="2"/>
      </rPr>
      <t xml:space="preserve">점수 </t>
    </r>
    <r>
      <rPr>
        <sz val="10"/>
        <color rgb="FF404040"/>
        <rFont val="맑은 고딕"/>
        <family val="0"/>
        <charset val="1"/>
      </rPr>
      <t xml:space="preserve">= </t>
    </r>
    <r>
      <rPr>
        <sz val="10"/>
        <color rgb="FF404040"/>
        <rFont val="WenQuanYi Zen Hei"/>
        <family val="2"/>
      </rPr>
      <t xml:space="preserve">고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WenQuanYi Zen Hei"/>
        <family val="2"/>
      </rPr>
      <t xml:space="preserve">흔들기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WenQuanYi Zen Hei"/>
        <family val="2"/>
      </rPr>
      <t xml:space="preserve">뻑 등 다 반영한 최종 점수</t>
    </r>
  </si>
  <si>
    <r>
      <rPr>
        <sz val="10"/>
        <color rgb="FF404040"/>
        <rFont val="맑은 고딕"/>
        <family val="0"/>
        <charset val="1"/>
      </rPr>
      <t xml:space="preserve">    · </t>
    </r>
    <r>
      <rPr>
        <sz val="10"/>
        <color rgb="FF404040"/>
        <rFont val="WenQuanYi Zen Hei"/>
        <family val="2"/>
      </rPr>
      <t xml:space="preserve">박</t>
    </r>
    <r>
      <rPr>
        <sz val="10"/>
        <color rgb="FF404040"/>
        <rFont val="맑은 고딕"/>
        <family val="0"/>
        <charset val="1"/>
      </rPr>
      <t xml:space="preserve">/</t>
    </r>
    <r>
      <rPr>
        <sz val="10"/>
        <color rgb="FF404040"/>
        <rFont val="WenQuanYi Zen Hei"/>
        <family val="2"/>
      </rPr>
      <t xml:space="preserve">쉼 칸</t>
    </r>
    <r>
      <rPr>
        <sz val="10"/>
        <color rgb="FF404040"/>
        <rFont val="맑은 고딕"/>
        <family val="0"/>
        <charset val="1"/>
      </rPr>
      <t xml:space="preserve">: </t>
    </r>
    <r>
      <rPr>
        <sz val="10"/>
        <color rgb="FF404040"/>
        <rFont val="WenQuanYi Zen Hei"/>
        <family val="2"/>
      </rPr>
      <t xml:space="preserve">빈칸 </t>
    </r>
    <r>
      <rPr>
        <sz val="10"/>
        <color rgb="FF404040"/>
        <rFont val="맑은 고딕"/>
        <family val="0"/>
        <charset val="1"/>
      </rPr>
      <t xml:space="preserve">= </t>
    </r>
    <r>
      <rPr>
        <sz val="10"/>
        <color rgb="FF404040"/>
        <rFont val="WenQuanYi Zen Hei"/>
        <family val="2"/>
      </rPr>
      <t xml:space="preserve">보통 </t>
    </r>
    <r>
      <rPr>
        <sz val="10"/>
        <color rgb="FF404040"/>
        <rFont val="맑은 고딕"/>
        <family val="0"/>
        <charset val="1"/>
      </rPr>
      <t xml:space="preserve">/ 2</t>
    </r>
    <r>
      <rPr>
        <sz val="10"/>
        <color rgb="FF404040"/>
        <rFont val="WenQuanYi Zen Hei"/>
        <family val="2"/>
      </rPr>
      <t xml:space="preserve">배 </t>
    </r>
    <r>
      <rPr>
        <sz val="10"/>
        <color rgb="FF404040"/>
        <rFont val="맑은 고딕"/>
        <family val="0"/>
        <charset val="1"/>
      </rPr>
      <t xml:space="preserve">= </t>
    </r>
    <r>
      <rPr>
        <sz val="10"/>
        <color rgb="FF404040"/>
        <rFont val="WenQuanYi Zen Hei"/>
        <family val="2"/>
      </rPr>
      <t xml:space="preserve">피박</t>
    </r>
    <r>
      <rPr>
        <sz val="10"/>
        <color rgb="FF404040"/>
        <rFont val="맑은 고딕"/>
        <family val="0"/>
        <charset val="1"/>
      </rPr>
      <t xml:space="preserve">·</t>
    </r>
    <r>
      <rPr>
        <sz val="10"/>
        <color rgb="FF404040"/>
        <rFont val="WenQuanYi Zen Hei"/>
        <family val="2"/>
      </rPr>
      <t xml:space="preserve">광박</t>
    </r>
    <r>
      <rPr>
        <sz val="10"/>
        <color rgb="FF404040"/>
        <rFont val="맑은 고딕"/>
        <family val="0"/>
        <charset val="1"/>
      </rPr>
      <t xml:space="preserve">·</t>
    </r>
    <r>
      <rPr>
        <sz val="10"/>
        <color rgb="FF404040"/>
        <rFont val="WenQuanYi Zen Hei"/>
        <family val="2"/>
      </rPr>
      <t xml:space="preserve">멍박 중 하나 </t>
    </r>
    <r>
      <rPr>
        <sz val="10"/>
        <color rgb="FF404040"/>
        <rFont val="맑은 고딕"/>
        <family val="0"/>
        <charset val="1"/>
      </rPr>
      <t xml:space="preserve">/ 4</t>
    </r>
    <r>
      <rPr>
        <sz val="10"/>
        <color rgb="FF404040"/>
        <rFont val="WenQuanYi Zen Hei"/>
        <family val="2"/>
      </rPr>
      <t xml:space="preserve">배 </t>
    </r>
    <r>
      <rPr>
        <sz val="10"/>
        <color rgb="FF404040"/>
        <rFont val="맑은 고딕"/>
        <family val="0"/>
        <charset val="1"/>
      </rPr>
      <t xml:space="preserve">= </t>
    </r>
    <r>
      <rPr>
        <sz val="10"/>
        <color rgb="FF404040"/>
        <rFont val="WenQuanYi Zen Hei"/>
        <family val="2"/>
      </rPr>
      <t xml:space="preserve">두 개 겹침 </t>
    </r>
    <r>
      <rPr>
        <sz val="10"/>
        <color rgb="FF404040"/>
        <rFont val="맑은 고딕"/>
        <family val="0"/>
        <charset val="1"/>
      </rPr>
      <t xml:space="preserve">/ </t>
    </r>
    <r>
      <rPr>
        <sz val="10"/>
        <color rgb="FF404040"/>
        <rFont val="WenQuanYi Zen Hei"/>
        <family val="2"/>
      </rPr>
      <t xml:space="preserve">쉼 </t>
    </r>
    <r>
      <rPr>
        <sz val="10"/>
        <color rgb="FF404040"/>
        <rFont val="맑은 고딕"/>
        <family val="0"/>
        <charset val="1"/>
      </rPr>
      <t xml:space="preserve">= </t>
    </r>
    <r>
      <rPr>
        <sz val="10"/>
        <color rgb="FF404040"/>
        <rFont val="WenQuanYi Zen Hei"/>
        <family val="2"/>
      </rPr>
      <t xml:space="preserve">이번 판 안 친 사람</t>
    </r>
    <r>
      <rPr>
        <sz val="10"/>
        <color rgb="FF404040"/>
        <rFont val="맑은 고딕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광 판 사람</t>
    </r>
    <r>
      <rPr>
        <sz val="10"/>
        <color rgb="FF404040"/>
        <rFont val="맑은 고딕"/>
        <family val="0"/>
        <charset val="1"/>
      </rPr>
      <t xml:space="preserve">)</t>
    </r>
  </si>
  <si>
    <r>
      <rPr>
        <sz val="10"/>
        <color rgb="FF404040"/>
        <rFont val="맑은 고딕"/>
        <family val="0"/>
        <charset val="1"/>
      </rPr>
      <t xml:space="preserve">    · </t>
    </r>
    <r>
      <rPr>
        <sz val="10"/>
        <color rgb="FF404040"/>
        <rFont val="WenQuanYi Zen Hei"/>
        <family val="2"/>
      </rPr>
      <t xml:space="preserve">진 사람은 </t>
    </r>
    <r>
      <rPr>
        <sz val="10"/>
        <color rgb="FF404040"/>
        <rFont val="맑은 고딕"/>
        <family val="0"/>
        <charset val="1"/>
      </rPr>
      <t xml:space="preserve">'</t>
    </r>
    <r>
      <rPr>
        <sz val="10"/>
        <color rgb="FF404040"/>
        <rFont val="WenQuanYi Zen Hei"/>
        <family val="2"/>
      </rPr>
      <t xml:space="preserve">점수 </t>
    </r>
    <r>
      <rPr>
        <sz val="10"/>
        <color rgb="FF404040"/>
        <rFont val="맑은 고딕"/>
        <family val="0"/>
        <charset val="1"/>
      </rPr>
      <t xml:space="preserve">× </t>
    </r>
    <r>
      <rPr>
        <sz val="10"/>
        <color rgb="FF404040"/>
        <rFont val="WenQuanYi Zen Hei"/>
        <family val="2"/>
      </rPr>
      <t xml:space="preserve">점당 </t>
    </r>
    <r>
      <rPr>
        <sz val="10"/>
        <color rgb="FF404040"/>
        <rFont val="맑은 고딕"/>
        <family val="0"/>
        <charset val="1"/>
      </rPr>
      <t xml:space="preserve">× </t>
    </r>
    <r>
      <rPr>
        <sz val="10"/>
        <color rgb="FF404040"/>
        <rFont val="WenQuanYi Zen Hei"/>
        <family val="2"/>
      </rPr>
      <t xml:space="preserve">배수</t>
    </r>
    <r>
      <rPr>
        <sz val="10"/>
        <color rgb="FF404040"/>
        <rFont val="맑은 고딕"/>
        <family val="0"/>
        <charset val="1"/>
      </rPr>
      <t xml:space="preserve">'</t>
    </r>
    <r>
      <rPr>
        <sz val="10"/>
        <color rgb="FF404040"/>
        <rFont val="WenQuanYi Zen Hei"/>
        <family val="2"/>
      </rPr>
      <t xml:space="preserve">만큼 내고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WenQuanYi Zen Hei"/>
        <family val="2"/>
      </rPr>
      <t xml:space="preserve">승자가 그걸 다 받아요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</si>
  <si>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sz val="10"/>
        <color rgb="FF404040"/>
        <rFont val="WenQuanYi Zen Hei"/>
        <family val="2"/>
      </rPr>
      <t xml:space="preserve">③ 광값</t>
    </r>
    <r>
      <rPr>
        <sz val="10"/>
        <color rgb="FF404040"/>
        <rFont val="맑은 고딕"/>
        <family val="0"/>
        <charset val="1"/>
      </rPr>
      <t xml:space="preserve">·</t>
    </r>
    <r>
      <rPr>
        <sz val="10"/>
        <color rgb="FF404040"/>
        <rFont val="WenQuanYi Zen Hei"/>
        <family val="2"/>
      </rPr>
      <t xml:space="preserve">벌금처럼 판 결과와 따로 주고받은 돈은 </t>
    </r>
    <r>
      <rPr>
        <sz val="10"/>
        <color rgb="FF404040"/>
        <rFont val="맑은 고딕"/>
        <family val="0"/>
        <charset val="1"/>
      </rPr>
      <t xml:space="preserve">'</t>
    </r>
    <r>
      <rPr>
        <sz val="10"/>
        <color rgb="FF404040"/>
        <rFont val="WenQuanYi Zen Hei"/>
        <family val="2"/>
      </rPr>
      <t xml:space="preserve">기타정산</t>
    </r>
    <r>
      <rPr>
        <sz val="10"/>
        <color rgb="FF404040"/>
        <rFont val="맑은 고딕"/>
        <family val="0"/>
        <charset val="1"/>
      </rPr>
      <t xml:space="preserve">' </t>
    </r>
    <r>
      <rPr>
        <sz val="10"/>
        <color rgb="FF404040"/>
        <rFont val="WenQuanYi Zen Hei"/>
        <family val="2"/>
      </rPr>
      <t xml:space="preserve">시트에 적어요</t>
    </r>
    <r>
      <rPr>
        <sz val="10"/>
        <color rgb="FF404040"/>
        <rFont val="맑은 고딕"/>
        <family val="0"/>
        <charset val="1"/>
      </rPr>
      <t xml:space="preserve">.</t>
    </r>
  </si>
  <si>
    <r>
      <rPr>
        <sz val="10"/>
        <color rgb="FF404040"/>
        <rFont val="WenQuanYi Zen Hei"/>
        <family val="2"/>
      </rPr>
      <t xml:space="preserve">예</t>
    </r>
    <r>
      <rPr>
        <sz val="10"/>
        <color rgb="FF404040"/>
        <rFont val="맑은 고딕"/>
        <family val="0"/>
        <charset val="1"/>
      </rPr>
      <t xml:space="preserve">) </t>
    </r>
    <r>
      <rPr>
        <sz val="10"/>
        <color rgb="FF404040"/>
        <rFont val="WenQuanYi Zen Hei"/>
        <family val="2"/>
      </rPr>
      <t xml:space="preserve">점당 </t>
    </r>
    <r>
      <rPr>
        <sz val="10"/>
        <color rgb="FF404040"/>
        <rFont val="맑은 고딕"/>
        <family val="0"/>
        <charset val="1"/>
      </rPr>
      <t xml:space="preserve">100</t>
    </r>
    <r>
      <rPr>
        <sz val="10"/>
        <color rgb="FF404040"/>
        <rFont val="WenQuanYi Zen Hei"/>
        <family val="2"/>
      </rPr>
      <t xml:space="preserve">원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WenQuanYi Zen Hei"/>
        <family val="2"/>
      </rPr>
      <t xml:space="preserve">철수 </t>
    </r>
    <r>
      <rPr>
        <sz val="10"/>
        <color rgb="FF404040"/>
        <rFont val="맑은 고딕"/>
        <family val="0"/>
        <charset val="1"/>
      </rPr>
      <t xml:space="preserve">5</t>
    </r>
    <r>
      <rPr>
        <sz val="10"/>
        <color rgb="FF404040"/>
        <rFont val="WenQuanYi Zen Hei"/>
        <family val="2"/>
      </rPr>
      <t xml:space="preserve">점 승</t>
    </r>
    <r>
      <rPr>
        <sz val="10"/>
        <color rgb="FF404040"/>
        <rFont val="맑은 고딕"/>
        <family val="0"/>
        <charset val="1"/>
      </rPr>
      <t xml:space="preserve">, </t>
    </r>
    <r>
      <rPr>
        <sz val="10"/>
        <color rgb="FF404040"/>
        <rFont val="WenQuanYi Zen Hei"/>
        <family val="2"/>
      </rPr>
      <t xml:space="preserve">영희 </t>
    </r>
    <r>
      <rPr>
        <sz val="10"/>
        <color rgb="FF404040"/>
        <rFont val="맑은 고딕"/>
        <family val="0"/>
        <charset val="1"/>
      </rPr>
      <t xml:space="preserve">2</t>
    </r>
    <r>
      <rPr>
        <sz val="10"/>
        <color rgb="FF404040"/>
        <rFont val="WenQuanYi Zen Hei"/>
        <family val="2"/>
      </rPr>
      <t xml:space="preserve">배</t>
    </r>
    <r>
      <rPr>
        <sz val="10"/>
        <color rgb="FF404040"/>
        <rFont val="맑은 고딕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피박</t>
    </r>
    <r>
      <rPr>
        <sz val="10"/>
        <color rgb="FF404040"/>
        <rFont val="맑은 고딕"/>
        <family val="0"/>
        <charset val="1"/>
      </rPr>
      <t xml:space="preserve">), </t>
    </r>
    <r>
      <rPr>
        <sz val="10"/>
        <color rgb="FF404040"/>
        <rFont val="WenQuanYi Zen Hei"/>
        <family val="2"/>
      </rPr>
      <t xml:space="preserve">지훈 쉼 → 영희 −</t>
    </r>
    <r>
      <rPr>
        <sz val="10"/>
        <color rgb="FF404040"/>
        <rFont val="맑은 고딕"/>
        <family val="0"/>
        <charset val="1"/>
      </rPr>
      <t xml:space="preserve">1,000 · </t>
    </r>
    <r>
      <rPr>
        <sz val="10"/>
        <color rgb="FF404040"/>
        <rFont val="WenQuanYi Zen Hei"/>
        <family val="2"/>
      </rPr>
      <t xml:space="preserve">민수 −</t>
    </r>
    <r>
      <rPr>
        <sz val="10"/>
        <color rgb="FF404040"/>
        <rFont val="맑은 고딕"/>
        <family val="0"/>
        <charset val="1"/>
      </rPr>
      <t xml:space="preserve">500 · </t>
    </r>
    <r>
      <rPr>
        <sz val="10"/>
        <color rgb="FF404040"/>
        <rFont val="WenQuanYi Zen Hei"/>
        <family val="2"/>
      </rPr>
      <t xml:space="preserve">지훈 </t>
    </r>
    <r>
      <rPr>
        <sz val="10"/>
        <color rgb="FF404040"/>
        <rFont val="맑은 고딕"/>
        <family val="0"/>
        <charset val="1"/>
      </rPr>
      <t xml:space="preserve">0 · </t>
    </r>
    <r>
      <rPr>
        <sz val="10"/>
        <color rgb="FF404040"/>
        <rFont val="WenQuanYi Zen Hei"/>
        <family val="2"/>
      </rPr>
      <t xml:space="preserve">철수 </t>
    </r>
    <r>
      <rPr>
        <sz val="10"/>
        <color rgb="FF404040"/>
        <rFont val="맑은 고딕"/>
        <family val="0"/>
        <charset val="1"/>
      </rPr>
      <t xml:space="preserve">+1,500</t>
    </r>
  </si>
  <si>
    <r>
      <rPr>
        <sz val="10"/>
        <color rgb="FF404040"/>
        <rFont val="WenQuanYi Zen Hei"/>
        <family val="2"/>
      </rPr>
      <t xml:space="preserve">최종 손익</t>
    </r>
    <r>
      <rPr>
        <sz val="10"/>
        <color rgb="FF404040"/>
        <rFont val="맑은 고딕"/>
        <family val="0"/>
        <charset val="1"/>
      </rPr>
      <t xml:space="preserve">: + </t>
    </r>
    <r>
      <rPr>
        <sz val="10"/>
        <color rgb="FF404040"/>
        <rFont val="WenQuanYi Zen Hei"/>
        <family val="2"/>
      </rPr>
      <t xml:space="preserve">는 받을 돈</t>
    </r>
    <r>
      <rPr>
        <sz val="10"/>
        <color rgb="FF404040"/>
        <rFont val="맑은 고딕"/>
        <family val="0"/>
        <charset val="1"/>
      </rPr>
      <t xml:space="preserve">, − </t>
    </r>
    <r>
      <rPr>
        <sz val="10"/>
        <color rgb="FF404040"/>
        <rFont val="WenQuanYi Zen Hei"/>
        <family val="2"/>
      </rPr>
      <t xml:space="preserve">는 낼 돈</t>
    </r>
    <r>
      <rPr>
        <sz val="10"/>
        <color rgb="FF404040"/>
        <rFont val="맑은 고딕"/>
        <family val="0"/>
        <charset val="1"/>
      </rPr>
      <t xml:space="preserve">. 1</t>
    </r>
    <r>
      <rPr>
        <sz val="10"/>
        <color rgb="FF404040"/>
        <rFont val="WenQuanYi Zen Hei"/>
        <family val="2"/>
      </rPr>
      <t xml:space="preserve">등 줄은 금색으로 표시돼요</t>
    </r>
    <r>
      <rPr>
        <sz val="10"/>
        <color rgb="FF404040"/>
        <rFont val="맑은 고딕"/>
        <family val="0"/>
        <charset val="1"/>
      </rPr>
      <t xml:space="preserve">.</t>
    </r>
  </si>
  <si>
    <t xml:space="preserve">판기록</t>
  </si>
  <si>
    <r>
      <rPr>
        <sz val="10"/>
        <color rgb="FF7F7F7F"/>
        <rFont val="WenQuanYi Zen Hei"/>
        <family val="2"/>
      </rPr>
      <t xml:space="preserve">노란 칸만 입력 </t>
    </r>
    <r>
      <rPr>
        <sz val="10"/>
        <color rgb="FF7F7F7F"/>
        <rFont val="맑은 고딕"/>
        <family val="0"/>
        <charset val="1"/>
      </rPr>
      <t xml:space="preserve">· </t>
    </r>
    <r>
      <rPr>
        <sz val="10"/>
        <color rgb="FF7F7F7F"/>
        <rFont val="WenQuanYi Zen Hei"/>
        <family val="2"/>
      </rPr>
      <t xml:space="preserve">박</t>
    </r>
    <r>
      <rPr>
        <sz val="10"/>
        <color rgb="FF7F7F7F"/>
        <rFont val="맑은 고딕"/>
        <family val="0"/>
        <charset val="1"/>
      </rPr>
      <t xml:space="preserve">/</t>
    </r>
    <r>
      <rPr>
        <sz val="10"/>
        <color rgb="FF7F7F7F"/>
        <rFont val="WenQuanYi Zen Hei"/>
        <family val="2"/>
      </rPr>
      <t xml:space="preserve">쉼</t>
    </r>
    <r>
      <rPr>
        <sz val="10"/>
        <color rgb="FF7F7F7F"/>
        <rFont val="맑은 고딕"/>
        <family val="0"/>
        <charset val="1"/>
      </rPr>
      <t xml:space="preserve">: </t>
    </r>
    <r>
      <rPr>
        <sz val="10"/>
        <color rgb="FF7F7F7F"/>
        <rFont val="WenQuanYi Zen Hei"/>
        <family val="2"/>
      </rPr>
      <t xml:space="preserve">빈칸</t>
    </r>
    <r>
      <rPr>
        <sz val="10"/>
        <color rgb="FF7F7F7F"/>
        <rFont val="맑은 고딕"/>
        <family val="0"/>
        <charset val="1"/>
      </rPr>
      <t xml:space="preserve">=</t>
    </r>
    <r>
      <rPr>
        <sz val="10"/>
        <color rgb="FF7F7F7F"/>
        <rFont val="WenQuanYi Zen Hei"/>
        <family val="2"/>
      </rPr>
      <t xml:space="preserve">보통</t>
    </r>
    <r>
      <rPr>
        <sz val="10"/>
        <color rgb="FF7F7F7F"/>
        <rFont val="맑은 고딕"/>
        <family val="0"/>
        <charset val="1"/>
      </rPr>
      <t xml:space="preserve">, 2</t>
    </r>
    <r>
      <rPr>
        <sz val="10"/>
        <color rgb="FF7F7F7F"/>
        <rFont val="WenQuanYi Zen Hei"/>
        <family val="2"/>
      </rPr>
      <t xml:space="preserve">배</t>
    </r>
    <r>
      <rPr>
        <sz val="10"/>
        <color rgb="FF7F7F7F"/>
        <rFont val="맑은 고딕"/>
        <family val="0"/>
        <charset val="1"/>
      </rPr>
      <t xml:space="preserve">/4</t>
    </r>
    <r>
      <rPr>
        <sz val="10"/>
        <color rgb="FF7F7F7F"/>
        <rFont val="WenQuanYi Zen Hei"/>
        <family val="2"/>
      </rPr>
      <t xml:space="preserve">배</t>
    </r>
    <r>
      <rPr>
        <sz val="10"/>
        <color rgb="FF7F7F7F"/>
        <rFont val="맑은 고딕"/>
        <family val="0"/>
        <charset val="1"/>
      </rPr>
      <t xml:space="preserve">/8</t>
    </r>
    <r>
      <rPr>
        <sz val="10"/>
        <color rgb="FF7F7F7F"/>
        <rFont val="WenQuanYi Zen Hei"/>
        <family val="2"/>
      </rPr>
      <t xml:space="preserve">배</t>
    </r>
    <r>
      <rPr>
        <sz val="10"/>
        <color rgb="FF7F7F7F"/>
        <rFont val="맑은 고딕"/>
        <family val="0"/>
        <charset val="1"/>
      </rPr>
      <t xml:space="preserve">=</t>
    </r>
    <r>
      <rPr>
        <sz val="10"/>
        <color rgb="FF7F7F7F"/>
        <rFont val="WenQuanYi Zen Hei"/>
        <family val="2"/>
      </rPr>
      <t xml:space="preserve">박</t>
    </r>
    <r>
      <rPr>
        <sz val="10"/>
        <color rgb="FF7F7F7F"/>
        <rFont val="맑은 고딕"/>
        <family val="0"/>
        <charset val="1"/>
      </rPr>
      <t xml:space="preserve">, </t>
    </r>
    <r>
      <rPr>
        <sz val="10"/>
        <color rgb="FF7F7F7F"/>
        <rFont val="WenQuanYi Zen Hei"/>
        <family val="2"/>
      </rPr>
      <t xml:space="preserve">쉼</t>
    </r>
    <r>
      <rPr>
        <sz val="10"/>
        <color rgb="FF7F7F7F"/>
        <rFont val="맑은 고딕"/>
        <family val="0"/>
        <charset val="1"/>
      </rPr>
      <t xml:space="preserve">=</t>
    </r>
    <r>
      <rPr>
        <sz val="10"/>
        <color rgb="FF7F7F7F"/>
        <rFont val="WenQuanYi Zen Hei"/>
        <family val="2"/>
      </rPr>
      <t xml:space="preserve">안 친 사람 </t>
    </r>
    <r>
      <rPr>
        <sz val="10"/>
        <color rgb="FF7F7F7F"/>
        <rFont val="맑은 고딕"/>
        <family val="0"/>
        <charset val="1"/>
      </rPr>
      <t xml:space="preserve">· </t>
    </r>
    <r>
      <rPr>
        <sz val="10"/>
        <color rgb="FF7F7F7F"/>
        <rFont val="WenQuanYi Zen Hei"/>
        <family val="2"/>
      </rPr>
      <t xml:space="preserve">예</t>
    </r>
    <r>
      <rPr>
        <sz val="10"/>
        <color rgb="FF7F7F7F"/>
        <rFont val="맑은 고딕"/>
        <family val="0"/>
        <charset val="1"/>
      </rPr>
      <t xml:space="preserve">) </t>
    </r>
    <r>
      <rPr>
        <sz val="10"/>
        <color rgb="FF7F7F7F"/>
        <rFont val="WenQuanYi Zen Hei"/>
        <family val="2"/>
      </rPr>
      <t xml:space="preserve">철수 승 </t>
    </r>
    <r>
      <rPr>
        <sz val="10"/>
        <color rgb="FF7F7F7F"/>
        <rFont val="맑은 고딕"/>
        <family val="0"/>
        <charset val="1"/>
      </rPr>
      <t xml:space="preserve">5</t>
    </r>
    <r>
      <rPr>
        <sz val="10"/>
        <color rgb="FF7F7F7F"/>
        <rFont val="WenQuanYi Zen Hei"/>
        <family val="2"/>
      </rPr>
      <t xml:space="preserve">점</t>
    </r>
    <r>
      <rPr>
        <sz val="10"/>
        <color rgb="FF7F7F7F"/>
        <rFont val="맑은 고딕"/>
        <family val="0"/>
        <charset val="1"/>
      </rPr>
      <t xml:space="preserve">, </t>
    </r>
    <r>
      <rPr>
        <sz val="10"/>
        <color rgb="FF7F7F7F"/>
        <rFont val="WenQuanYi Zen Hei"/>
        <family val="2"/>
      </rPr>
      <t xml:space="preserve">영희 </t>
    </r>
    <r>
      <rPr>
        <sz val="10"/>
        <color rgb="FF7F7F7F"/>
        <rFont val="맑은 고딕"/>
        <family val="0"/>
        <charset val="1"/>
      </rPr>
      <t xml:space="preserve">2</t>
    </r>
    <r>
      <rPr>
        <sz val="10"/>
        <color rgb="FF7F7F7F"/>
        <rFont val="WenQuanYi Zen Hei"/>
        <family val="2"/>
      </rPr>
      <t xml:space="preserve">배</t>
    </r>
    <r>
      <rPr>
        <sz val="10"/>
        <color rgb="FF7F7F7F"/>
        <rFont val="맑은 고딕"/>
        <family val="0"/>
        <charset val="1"/>
      </rPr>
      <t xml:space="preserve">, </t>
    </r>
    <r>
      <rPr>
        <sz val="10"/>
        <color rgb="FF7F7F7F"/>
        <rFont val="WenQuanYi Zen Hei"/>
        <family val="2"/>
      </rPr>
      <t xml:space="preserve">지훈 쉼 → 영희 −</t>
    </r>
    <r>
      <rPr>
        <sz val="10"/>
        <color rgb="FF7F7F7F"/>
        <rFont val="맑은 고딕"/>
        <family val="0"/>
        <charset val="1"/>
      </rPr>
      <t xml:space="preserve">1,000 / </t>
    </r>
    <r>
      <rPr>
        <sz val="10"/>
        <color rgb="FF7F7F7F"/>
        <rFont val="WenQuanYi Zen Hei"/>
        <family val="2"/>
      </rPr>
      <t xml:space="preserve">민수 −</t>
    </r>
    <r>
      <rPr>
        <sz val="10"/>
        <color rgb="FF7F7F7F"/>
        <rFont val="맑은 고딕"/>
        <family val="0"/>
        <charset val="1"/>
      </rPr>
      <t xml:space="preserve">500 / </t>
    </r>
    <r>
      <rPr>
        <sz val="10"/>
        <color rgb="FF7F7F7F"/>
        <rFont val="WenQuanYi Zen Hei"/>
        <family val="2"/>
      </rPr>
      <t xml:space="preserve">철수 </t>
    </r>
    <r>
      <rPr>
        <sz val="10"/>
        <color rgb="FF7F7F7F"/>
        <rFont val="맑은 고딕"/>
        <family val="0"/>
        <charset val="1"/>
      </rPr>
      <t xml:space="preserve">+1,500 (</t>
    </r>
    <r>
      <rPr>
        <sz val="10"/>
        <color rgb="FF7F7F7F"/>
        <rFont val="WenQuanYi Zen Hei"/>
        <family val="2"/>
      </rPr>
      <t xml:space="preserve">점당 </t>
    </r>
    <r>
      <rPr>
        <sz val="10"/>
        <color rgb="FF7F7F7F"/>
        <rFont val="맑은 고딕"/>
        <family val="0"/>
        <charset val="1"/>
      </rPr>
      <t xml:space="preserve">100</t>
    </r>
    <r>
      <rPr>
        <sz val="10"/>
        <color rgb="FF7F7F7F"/>
        <rFont val="WenQuanYi Zen Hei"/>
        <family val="2"/>
      </rPr>
      <t xml:space="preserve">원</t>
    </r>
    <r>
      <rPr>
        <sz val="10"/>
        <color rgb="FF7F7F7F"/>
        <rFont val="맑은 고딕"/>
        <family val="0"/>
        <charset val="1"/>
      </rPr>
      <t xml:space="preserve">)</t>
    </r>
  </si>
  <si>
    <t xml:space="preserve">판</t>
  </si>
  <si>
    <t xml:space="preserve">승자</t>
  </si>
  <si>
    <t xml:space="preserve">점수</t>
  </si>
  <si>
    <r>
      <rPr>
        <b val="true"/>
        <sz val="11"/>
        <color rgb="FFFFFFFF"/>
        <rFont val="WenQuanYi Zen Hei"/>
        <family val="2"/>
      </rPr>
      <t xml:space="preserve">박 </t>
    </r>
    <r>
      <rPr>
        <b val="true"/>
        <sz val="11"/>
        <color rgb="FFFFFFFF"/>
        <rFont val="맑은 고딕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쉼 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빈칸 </t>
    </r>
    <r>
      <rPr>
        <b val="true"/>
        <sz val="11"/>
        <color rgb="FFFFFFFF"/>
        <rFont val="맑은 고딕"/>
        <family val="0"/>
        <charset val="1"/>
      </rPr>
      <t xml:space="preserve">= </t>
    </r>
    <r>
      <rPr>
        <b val="true"/>
        <sz val="11"/>
        <color rgb="FFFFFFFF"/>
        <rFont val="WenQuanYi Zen Hei"/>
        <family val="2"/>
      </rPr>
      <t xml:space="preserve">보통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</si>
  <si>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이번 판 돈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</si>
  <si>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확인</t>
  </si>
  <si>
    <t xml:space="preserve">메모</t>
  </si>
  <si>
    <r>
      <rPr>
        <sz val="11"/>
        <color theme="1"/>
        <rFont val="WenQuanYi Zen Hei"/>
        <family val="2"/>
      </rPr>
      <t xml:space="preserve">배수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</si>
  <si>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WenQuanYi Zen Hei"/>
        <family val="2"/>
      </rPr>
      <t xml:space="preserve">배수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</si>
  <si>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WenQuanYi Zen Hei"/>
        <family val="2"/>
      </rPr>
      <t xml:space="preserve">배수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</si>
  <si>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배수</t>
    </r>
    <r>
      <rPr>
        <sz val="11"/>
        <color theme="1"/>
        <rFont val="Calibri"/>
        <family val="2"/>
        <charset val="1"/>
      </rPr>
      <t xml:space="preserve">4</t>
    </r>
  </si>
  <si>
    <r>
      <rPr>
        <b val="true"/>
        <sz val="16"/>
        <color rgb="FF000000"/>
        <rFont val="WenQuanYi Zen Hei"/>
        <family val="2"/>
      </rPr>
      <t xml:space="preserve">기타정산 </t>
    </r>
    <r>
      <rPr>
        <b val="true"/>
        <sz val="16"/>
        <color rgb="FF000000"/>
        <rFont val="맑은 고딕"/>
        <family val="0"/>
        <charset val="1"/>
      </rPr>
      <t xml:space="preserve">(</t>
    </r>
    <r>
      <rPr>
        <b val="true"/>
        <sz val="16"/>
        <color rgb="FF000000"/>
        <rFont val="WenQuanYi Zen Hei"/>
        <family val="2"/>
      </rPr>
      <t xml:space="preserve">광값 </t>
    </r>
    <r>
      <rPr>
        <b val="true"/>
        <sz val="16"/>
        <color rgb="FF000000"/>
        <rFont val="맑은 고딕"/>
        <family val="0"/>
        <charset val="1"/>
      </rPr>
      <t xml:space="preserve">· </t>
    </r>
    <r>
      <rPr>
        <b val="true"/>
        <sz val="16"/>
        <color rgb="FF000000"/>
        <rFont val="WenQuanYi Zen Hei"/>
        <family val="2"/>
      </rPr>
      <t xml:space="preserve">벌금 등 따로 주고받은 돈</t>
    </r>
    <r>
      <rPr>
        <b val="true"/>
        <sz val="16"/>
        <color rgb="FF000000"/>
        <rFont val="맑은 고딕"/>
        <family val="0"/>
        <charset val="1"/>
      </rPr>
      <t xml:space="preserve">)</t>
    </r>
  </si>
  <si>
    <r>
      <rPr>
        <sz val="10"/>
        <color rgb="FF7F7F7F"/>
        <rFont val="WenQuanYi Zen Hei"/>
        <family val="2"/>
      </rPr>
      <t xml:space="preserve">예</t>
    </r>
    <r>
      <rPr>
        <sz val="10"/>
        <color rgb="FF7F7F7F"/>
        <rFont val="맑은 고딕"/>
        <family val="0"/>
        <charset val="1"/>
      </rPr>
      <t xml:space="preserve">) </t>
    </r>
    <r>
      <rPr>
        <sz val="10"/>
        <color rgb="FF7F7F7F"/>
        <rFont val="WenQuanYi Zen Hei"/>
        <family val="2"/>
      </rPr>
      <t xml:space="preserve">지훈이 광을 팔아 철수가 </t>
    </r>
    <r>
      <rPr>
        <sz val="10"/>
        <color rgb="FF7F7F7F"/>
        <rFont val="맑은 고딕"/>
        <family val="0"/>
        <charset val="1"/>
      </rPr>
      <t xml:space="preserve">300</t>
    </r>
    <r>
      <rPr>
        <sz val="10"/>
        <color rgb="FF7F7F7F"/>
        <rFont val="WenQuanYi Zen Hei"/>
        <family val="2"/>
      </rPr>
      <t xml:space="preserve">원 줌 → 주는 사람</t>
    </r>
    <r>
      <rPr>
        <sz val="10"/>
        <color rgb="FF7F7F7F"/>
        <rFont val="맑은 고딕"/>
        <family val="0"/>
        <charset val="1"/>
      </rPr>
      <t xml:space="preserve">: </t>
    </r>
    <r>
      <rPr>
        <sz val="10"/>
        <color rgb="FF7F7F7F"/>
        <rFont val="WenQuanYi Zen Hei"/>
        <family val="2"/>
      </rPr>
      <t xml:space="preserve">철수</t>
    </r>
    <r>
      <rPr>
        <sz val="10"/>
        <color rgb="FF7F7F7F"/>
        <rFont val="맑은 고딕"/>
        <family val="0"/>
        <charset val="1"/>
      </rPr>
      <t xml:space="preserve">, </t>
    </r>
    <r>
      <rPr>
        <sz val="10"/>
        <color rgb="FF7F7F7F"/>
        <rFont val="WenQuanYi Zen Hei"/>
        <family val="2"/>
      </rPr>
      <t xml:space="preserve">받는 사람</t>
    </r>
    <r>
      <rPr>
        <sz val="10"/>
        <color rgb="FF7F7F7F"/>
        <rFont val="맑은 고딕"/>
        <family val="0"/>
        <charset val="1"/>
      </rPr>
      <t xml:space="preserve">: </t>
    </r>
    <r>
      <rPr>
        <sz val="10"/>
        <color rgb="FF7F7F7F"/>
        <rFont val="WenQuanYi Zen Hei"/>
        <family val="2"/>
      </rPr>
      <t xml:space="preserve">지훈</t>
    </r>
    <r>
      <rPr>
        <sz val="10"/>
        <color rgb="FF7F7F7F"/>
        <rFont val="맑은 고딕"/>
        <family val="0"/>
        <charset val="1"/>
      </rPr>
      <t xml:space="preserve">, </t>
    </r>
    <r>
      <rPr>
        <sz val="10"/>
        <color rgb="FF7F7F7F"/>
        <rFont val="WenQuanYi Zen Hei"/>
        <family val="2"/>
      </rPr>
      <t xml:space="preserve">금액</t>
    </r>
    <r>
      <rPr>
        <sz val="10"/>
        <color rgb="FF7F7F7F"/>
        <rFont val="맑은 고딕"/>
        <family val="0"/>
        <charset val="1"/>
      </rPr>
      <t xml:space="preserve">: 300</t>
    </r>
  </si>
  <si>
    <t xml:space="preserve">판 번호</t>
  </si>
  <si>
    <r>
      <rPr>
        <b val="true"/>
        <sz val="11"/>
        <color rgb="FFFFFFFF"/>
        <rFont val="WenQuanYi Zen Hei"/>
        <family val="2"/>
      </rPr>
      <t xml:space="preserve">내용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광값</t>
    </r>
    <r>
      <rPr>
        <b val="true"/>
        <sz val="11"/>
        <color rgb="FFFFFFFF"/>
        <rFont val="맑은 고딕"/>
        <family val="0"/>
        <charset val="1"/>
      </rPr>
      <t xml:space="preserve">, </t>
    </r>
    <r>
      <rPr>
        <b val="true"/>
        <sz val="11"/>
        <color rgb="FFFFFFFF"/>
        <rFont val="WenQuanYi Zen Hei"/>
        <family val="2"/>
      </rPr>
      <t xml:space="preserve">벌금 등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</si>
  <si>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주는 사람</t>
  </si>
  <si>
    <t xml:space="preserve">받는 사람</t>
  </si>
  <si>
    <r>
      <rPr>
        <b val="true"/>
        <sz val="11"/>
        <color rgb="FFFFFFFF"/>
        <rFont val="WenQuanYi Zen Hei"/>
        <family val="2"/>
      </rPr>
      <t xml:space="preserve">금액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</si>
</sst>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\원"/>
    <numFmt numFmtId="166" formatCode="0\판"/>
    <numFmt numFmtId="167" formatCode="0%"/>
    <numFmt numFmtId="168" formatCode="#,##0"/>
    <numFmt numFmtId="169" formatCode="[BLUE]\+#,##0;[RED]\-#,##0;0"/>
    <numFmt numFmtId="170" formatCode="0\등"/>
    <numFmt numFmtId="171" formatCode="[BLUE]\+#,##0;[RED]\-#,##0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WenQuanYi Zen Hei"/>
      <family val="2"/>
    </font>
    <font>
      <b val="true"/>
      <sz val="18"/>
      <color rgb="FF000000"/>
      <name val="맑은 고딕"/>
      <family val="0"/>
      <charset val="1"/>
    </font>
    <font>
      <sz val="10"/>
      <color rgb="FF7F7F7F"/>
      <name val="WenQuanYi Zen Hei"/>
      <family val="2"/>
    </font>
    <font>
      <sz val="10"/>
      <color rgb="FF7F7F7F"/>
      <name val="맑은 고딕"/>
      <family val="0"/>
      <charset val="1"/>
    </font>
    <font>
      <b val="true"/>
      <sz val="11"/>
      <color rgb="FF000000"/>
      <name val="WenQuanYi Zen Hei"/>
      <family val="2"/>
    </font>
    <font>
      <b val="true"/>
      <sz val="12"/>
      <color rgb="FF0000FF"/>
      <name val="맑은 고딕"/>
      <family val="0"/>
      <charset val="1"/>
    </font>
    <font>
      <b val="true"/>
      <sz val="12"/>
      <color rgb="FF000000"/>
      <name val="맑은 고딕"/>
      <family val="0"/>
      <charset val="1"/>
    </font>
    <font>
      <b val="true"/>
      <sz val="11"/>
      <color rgb="FFFFFFFF"/>
      <name val="WenQuanYi Zen Hei"/>
      <family val="2"/>
    </font>
    <font>
      <sz val="11"/>
      <color rgb="FF000000"/>
      <name val="맑은 고딕"/>
      <family val="0"/>
      <charset val="1"/>
    </font>
    <font>
      <sz val="11"/>
      <color rgb="FF000000"/>
      <name val="WenQuanYi Zen Hei"/>
      <family val="2"/>
    </font>
    <font>
      <b val="true"/>
      <sz val="12"/>
      <color rgb="FF0000FF"/>
      <name val="WenQuanYi Zen Hei"/>
      <family val="2"/>
    </font>
    <font>
      <sz val="11"/>
      <color rgb="FF0000FF"/>
      <name val="맑은 고딕"/>
      <family val="0"/>
      <charset val="1"/>
    </font>
    <font>
      <sz val="11"/>
      <color rgb="FFC00000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b val="true"/>
      <sz val="11"/>
      <color rgb="FFC00000"/>
      <name val="맑은 고딕"/>
      <family val="0"/>
      <charset val="1"/>
    </font>
    <font>
      <sz val="10"/>
      <color rgb="FF404040"/>
      <name val="WenQuanYi Zen Hei"/>
      <family val="2"/>
    </font>
    <font>
      <sz val="10"/>
      <color rgb="FF404040"/>
      <name val="맑은 고딕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00000"/>
      <name val="WenQuanYi Zen Hei"/>
      <family val="2"/>
    </font>
    <font>
      <b val="true"/>
      <sz val="11"/>
      <color rgb="FFFFFFFF"/>
      <name val="맑은 고딕"/>
      <family val="0"/>
      <charset val="1"/>
    </font>
    <font>
      <sz val="11"/>
      <color theme="1"/>
      <name val="WenQuanYi Zen Hei"/>
      <family val="2"/>
    </font>
    <font>
      <b val="true"/>
      <sz val="11"/>
      <color rgb="FF0000FF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6"/>
      <color rgb="FF000000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EEF0"/>
        <bgColor rgb="FFDDEBF7"/>
      </patternFill>
    </fill>
    <fill>
      <patternFill patternType="solid">
        <fgColor rgb="FFFFF2B3"/>
        <bgColor rgb="FFFFE699"/>
      </patternFill>
    </fill>
    <fill>
      <patternFill patternType="solid">
        <fgColor rgb="FFF7F7F7"/>
        <bgColor rgb="FFFFFBE6"/>
      </patternFill>
    </fill>
    <fill>
      <patternFill patternType="solid">
        <fgColor rgb="FF2F4F4F"/>
        <bgColor rgb="FF404040"/>
      </patternFill>
    </fill>
    <fill>
      <patternFill patternType="solid">
        <fgColor rgb="FFFFFBE6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맑은 고딕"/>
        <charset val="1"/>
        <family val="0"/>
        <b val="1"/>
      </font>
      <fill>
        <patternFill>
          <bgColor rgb="FFFFE699"/>
        </patternFill>
      </fill>
    </dxf>
    <dxf>
      <font>
        <name val="맑은 고딕"/>
        <charset val="1"/>
        <family val="0"/>
        <b val="1"/>
        <color rgb="FFC00000"/>
      </font>
    </dxf>
    <dxf>
      <font>
        <name val="맑은 고딕"/>
        <charset val="1"/>
        <family val="0"/>
        <b val="1"/>
        <color rgb="FF00A050"/>
      </font>
    </dxf>
    <dxf>
      <font>
        <name val="맑은 고딕"/>
        <charset val="1"/>
        <family val="0"/>
        <color rgb="FF7F7F7F"/>
      </font>
      <fill>
        <patternFill>
          <bgColor rgb="FFD9D9D9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050"/>
      <rgbColor rgb="FFBFBFBF"/>
      <rgbColor rgb="FF7F7F7F"/>
      <rgbColor rgb="FF9999FF"/>
      <rgbColor rgb="FF993366"/>
      <rgbColor rgb="FFFFFBE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0"/>
      <rgbColor rgb="FFF7F7F7"/>
      <rgbColor rgb="FFFFF2B3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2F4F4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최종 손익 (원)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f4f4f"/>
            </a:solidFill>
            <a:ln w="0">
              <a:solidFill>
                <a:srgbClr val="2f4f4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정산!$B$7:$B$10</c:f>
              <c:strCache>
                <c:ptCount val="4"/>
                <c:pt idx="0">
                  <c:v>철수</c:v>
                </c:pt>
                <c:pt idx="1">
                  <c:v>영희</c:v>
                </c:pt>
                <c:pt idx="2">
                  <c:v>민수</c:v>
                </c:pt>
                <c:pt idx="3">
                  <c:v>지훈</c:v>
                </c:pt>
              </c:strCache>
            </c:strRef>
          </c:cat>
          <c:val>
            <c:numRef>
              <c:f>정산!$I$7:$I$10</c:f>
              <c:numCache>
                <c:formatCode>[BLUE]\+#,##0;[RED]\-#,##0;0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1790693"/>
        <c:axId val="38157053"/>
      </c:barChart>
      <c:catAx>
        <c:axId val="617906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57053"/>
        <c:crosses val="autoZero"/>
        <c:auto val="1"/>
        <c:lblAlgn val="ctr"/>
        <c:lblOffset val="100"/>
        <c:noMultiLvlLbl val="0"/>
      </c:catAx>
      <c:valAx>
        <c:axId val="38157053"/>
        <c:scaling>
          <c:orientation val="minMax"/>
        </c:scaling>
        <c:delete val="0"/>
        <c:axPos val="l"/>
        <c:numFmt formatCode="[BLUE]\+#,##0;[RED]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906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60480</xdr:rowOff>
    </xdr:from>
    <xdr:to>
      <xdr:col>7</xdr:col>
      <xdr:colOff>252360</xdr:colOff>
      <xdr:row>36</xdr:row>
      <xdr:rowOff>92880</xdr:rowOff>
    </xdr:to>
    <xdr:graphicFrame>
      <xdr:nvGraphicFramePr>
        <xdr:cNvPr id="0" name="Chart 1"/>
        <xdr:cNvGraphicFramePr/>
      </xdr:nvGraphicFramePr>
      <xdr:xfrm>
        <a:off x="0" y="4924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5" min="3" style="0" width="8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9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4" hidden="false" customHeight="true" outlineLevel="0" collapsed="false">
      <c r="A4" s="3" t="s">
        <v>2</v>
      </c>
      <c r="B4" s="3"/>
      <c r="C4" s="4" t="n">
        <v>100</v>
      </c>
      <c r="E4" s="3" t="s">
        <v>3</v>
      </c>
      <c r="F4" s="3"/>
      <c r="G4" s="5" t="n">
        <f aca="false">COUNT(판기록!$H$5:$H$204)</f>
        <v>0</v>
      </c>
    </row>
    <row r="6" customFormat="false" ht="21.7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</row>
    <row r="7" customFormat="false" ht="24" hidden="false" customHeight="true" outlineLevel="0" collapsed="false">
      <c r="A7" s="7" t="s">
        <v>14</v>
      </c>
      <c r="B7" s="8" t="s">
        <v>15</v>
      </c>
      <c r="C7" s="7" t="n">
        <f aca="false">SUMPRODUCT(ISNUMBER(판기록!H$5:H$204)*(판기록!D$5:D$204&lt;&gt;"쉼"))</f>
        <v>0</v>
      </c>
      <c r="D7" s="7" t="n">
        <f aca="false">SUMPRODUCT(ISNUMBER(판기록!H$5:H$204)*(판기록!$B$5:$B$204=B7))</f>
        <v>0</v>
      </c>
      <c r="E7" s="7" t="n">
        <f aca="false">SUMPRODUCT(ISNUMBER(판기록!H$5:H$204)*(판기록!D$5:D$204="쉼"))</f>
        <v>0</v>
      </c>
      <c r="F7" s="9" t="str">
        <f aca="false">IF(C7=0,"-",D7/C7)</f>
        <v>-</v>
      </c>
      <c r="G7" s="10" t="n">
        <f aca="false">SUMIF(판기록!H$5:H$204,"&gt;0")+SUMIF(기타정산!$E$5:$E$104,B7,기타정산!$F$5:$F$104)</f>
        <v>0</v>
      </c>
      <c r="H7" s="11" t="n">
        <f aca="false">-SUMIF(판기록!H$5:H$204,"&lt;0")+SUMIF(기타정산!$D$5:$D$104,B7,기타정산!$F$5:$F$104)</f>
        <v>0</v>
      </c>
      <c r="I7" s="12" t="n">
        <f aca="false">G7-H7</f>
        <v>0</v>
      </c>
      <c r="J7" s="13" t="n">
        <f aca="false">RANK(I7,$I$7:$I$10)</f>
        <v>1</v>
      </c>
    </row>
    <row r="8" customFormat="false" ht="24" hidden="false" customHeight="true" outlineLevel="0" collapsed="false">
      <c r="A8" s="7" t="s">
        <v>16</v>
      </c>
      <c r="B8" s="8" t="s">
        <v>17</v>
      </c>
      <c r="C8" s="7" t="n">
        <f aca="false">SUMPRODUCT(ISNUMBER(판기록!I$5:I$204)*(판기록!E$5:E$204&lt;&gt;"쉼"))</f>
        <v>0</v>
      </c>
      <c r="D8" s="7" t="n">
        <f aca="false">SUMPRODUCT(ISNUMBER(판기록!I$5:I$204)*(판기록!$B$5:$B$204=B8))</f>
        <v>0</v>
      </c>
      <c r="E8" s="7" t="n">
        <f aca="false">SUMPRODUCT(ISNUMBER(판기록!I$5:I$204)*(판기록!E$5:E$204="쉼"))</f>
        <v>0</v>
      </c>
      <c r="F8" s="9" t="str">
        <f aca="false">IF(C8=0,"-",D8/C8)</f>
        <v>-</v>
      </c>
      <c r="G8" s="10" t="n">
        <f aca="false">SUMIF(판기록!I$5:I$204,"&gt;0")+SUMIF(기타정산!$E$5:$E$104,B8,기타정산!$F$5:$F$104)</f>
        <v>0</v>
      </c>
      <c r="H8" s="11" t="n">
        <f aca="false">-SUMIF(판기록!I$5:I$204,"&lt;0")+SUMIF(기타정산!$D$5:$D$104,B8,기타정산!$F$5:$F$104)</f>
        <v>0</v>
      </c>
      <c r="I8" s="12" t="n">
        <f aca="false">G8-H8</f>
        <v>0</v>
      </c>
      <c r="J8" s="13" t="n">
        <f aca="false">RANK(I8,$I$7:$I$10)</f>
        <v>1</v>
      </c>
    </row>
    <row r="9" customFormat="false" ht="24" hidden="false" customHeight="true" outlineLevel="0" collapsed="false">
      <c r="A9" s="7" t="s">
        <v>18</v>
      </c>
      <c r="B9" s="8" t="s">
        <v>19</v>
      </c>
      <c r="C9" s="7" t="n">
        <f aca="false">SUMPRODUCT(ISNUMBER(판기록!J$5:J$204)*(판기록!F$5:F$204&lt;&gt;"쉼"))</f>
        <v>0</v>
      </c>
      <c r="D9" s="7" t="n">
        <f aca="false">SUMPRODUCT(ISNUMBER(판기록!J$5:J$204)*(판기록!$B$5:$B$204=B9))</f>
        <v>0</v>
      </c>
      <c r="E9" s="7" t="n">
        <f aca="false">SUMPRODUCT(ISNUMBER(판기록!J$5:J$204)*(판기록!F$5:F$204="쉼"))</f>
        <v>0</v>
      </c>
      <c r="F9" s="9" t="str">
        <f aca="false">IF(C9=0,"-",D9/C9)</f>
        <v>-</v>
      </c>
      <c r="G9" s="10" t="n">
        <f aca="false">SUMIF(판기록!J$5:J$204,"&gt;0")+SUMIF(기타정산!$E$5:$E$104,B9,기타정산!$F$5:$F$104)</f>
        <v>0</v>
      </c>
      <c r="H9" s="11" t="n">
        <f aca="false">-SUMIF(판기록!J$5:J$204,"&lt;0")+SUMIF(기타정산!$D$5:$D$104,B9,기타정산!$F$5:$F$104)</f>
        <v>0</v>
      </c>
      <c r="I9" s="12" t="n">
        <f aca="false">G9-H9</f>
        <v>0</v>
      </c>
      <c r="J9" s="13" t="n">
        <f aca="false">RANK(I9,$I$7:$I$10)</f>
        <v>1</v>
      </c>
    </row>
    <row r="10" customFormat="false" ht="24" hidden="false" customHeight="true" outlineLevel="0" collapsed="false">
      <c r="A10" s="7" t="s">
        <v>20</v>
      </c>
      <c r="B10" s="8" t="s">
        <v>21</v>
      </c>
      <c r="C10" s="7" t="n">
        <f aca="false">SUMPRODUCT(ISNUMBER(판기록!K$5:K$204)*(판기록!G$5:G$204&lt;&gt;"쉼"))</f>
        <v>0</v>
      </c>
      <c r="D10" s="7" t="n">
        <f aca="false">SUMPRODUCT(ISNUMBER(판기록!K$5:K$204)*(판기록!$B$5:$B$204=B10))</f>
        <v>0</v>
      </c>
      <c r="E10" s="7" t="n">
        <f aca="false">SUMPRODUCT(ISNUMBER(판기록!K$5:K$204)*(판기록!G$5:G$204="쉼"))</f>
        <v>0</v>
      </c>
      <c r="F10" s="9" t="str">
        <f aca="false">IF(C10=0,"-",D10/C10)</f>
        <v>-</v>
      </c>
      <c r="G10" s="10" t="n">
        <f aca="false">SUMIF(판기록!K$5:K$204,"&gt;0")+SUMIF(기타정산!$E$5:$E$104,B10,기타정산!$F$5:$F$104)</f>
        <v>0</v>
      </c>
      <c r="H10" s="11" t="n">
        <f aca="false">-SUMIF(판기록!K$5:K$204,"&lt;0")+SUMIF(기타정산!$D$5:$D$104,B10,기타정산!$F$5:$F$104)</f>
        <v>0</v>
      </c>
      <c r="I10" s="12" t="n">
        <f aca="false">G10-H10</f>
        <v>0</v>
      </c>
      <c r="J10" s="13" t="n">
        <f aca="false">RANK(I10,$I$7:$I$10)</f>
        <v>1</v>
      </c>
    </row>
    <row r="11" customFormat="false" ht="15" hidden="false" customHeight="true" outlineLevel="0" collapsed="false">
      <c r="A11" s="14" t="s">
        <v>22</v>
      </c>
      <c r="B11" s="14"/>
      <c r="C11" s="14"/>
      <c r="D11" s="14"/>
      <c r="E11" s="14"/>
      <c r="F11" s="14"/>
      <c r="G11" s="15" t="n">
        <f aca="false">SUM(G7:G10)</f>
        <v>0</v>
      </c>
      <c r="H11" s="15" t="n">
        <f aca="false">SUM(H7:H10)</f>
        <v>0</v>
      </c>
      <c r="I11" s="15" t="n">
        <f aca="false">SUM(I7:I10)</f>
        <v>0</v>
      </c>
      <c r="J11" s="14" t="str">
        <f aca="false">IF(ROUND(I11,0)=0,"✓ 정상","⚠ 확인")</f>
        <v>✓ 정상</v>
      </c>
    </row>
    <row r="12" customFormat="false" ht="15" hidden="false" customHeight="false" outlineLevel="0" collapsed="false">
      <c r="A12" s="16" t="str">
        <f aca="false">IF(SUMPRODUCT((COUNTIF(B7:B10,B7:B10)&gt;1)*1)&gt;0,"⚠ 이름이 겹쳐요. 4명 이름을 서로 다르게 써주세요.","")</f>
        <v/>
      </c>
    </row>
    <row r="14" customFormat="false" ht="15" hidden="false" customHeight="false" outlineLevel="0" collapsed="false">
      <c r="A14" s="17" t="s">
        <v>23</v>
      </c>
    </row>
    <row r="15" customFormat="false" ht="15" hidden="false" customHeight="false" outlineLevel="0" collapsed="false">
      <c r="A15" s="18" t="s">
        <v>24</v>
      </c>
    </row>
    <row r="16" customFormat="false" ht="15" hidden="false" customHeight="false" outlineLevel="0" collapsed="false">
      <c r="A16" s="18" t="s">
        <v>25</v>
      </c>
    </row>
    <row r="17" customFormat="false" ht="15" hidden="false" customHeight="false" outlineLevel="0" collapsed="false">
      <c r="A17" s="19" t="s">
        <v>26</v>
      </c>
    </row>
    <row r="18" customFormat="false" ht="15" hidden="false" customHeight="false" outlineLevel="0" collapsed="false">
      <c r="A18" s="19" t="s">
        <v>27</v>
      </c>
    </row>
    <row r="19" customFormat="false" ht="15" hidden="false" customHeight="false" outlineLevel="0" collapsed="false">
      <c r="A19" s="19" t="s">
        <v>28</v>
      </c>
    </row>
    <row r="20" customFormat="false" ht="15" hidden="false" customHeight="false" outlineLevel="0" collapsed="false">
      <c r="A20" s="18" t="s">
        <v>29</v>
      </c>
    </row>
    <row r="21" customFormat="false" ht="15" hidden="false" customHeight="false" outlineLevel="0" collapsed="false">
      <c r="A21" s="18" t="s">
        <v>30</v>
      </c>
    </row>
    <row r="22" customFormat="false" ht="15" hidden="false" customHeight="false" outlineLevel="0" collapsed="false">
      <c r="A22" s="18" t="s">
        <v>31</v>
      </c>
    </row>
  </sheetData>
  <mergeCells count="3">
    <mergeCell ref="A4:B4"/>
    <mergeCell ref="E4:F4"/>
    <mergeCell ref="A11:F11"/>
  </mergeCells>
  <conditionalFormatting sqref="A7:J10">
    <cfRule type="expression" priority="2" aboveAverage="0" equalAverage="0" bottom="0" percent="0" rank="0" text="" dxfId="0">
      <formula>AND($J7=1,$G$4&gt;0)</formula>
    </cfRule>
  </conditionalFormatting>
  <conditionalFormatting sqref="J11">
    <cfRule type="expression" priority="3" aboveAverage="0" equalAverage="0" bottom="0" percent="0" rank="0" text="" dxfId="1">
      <formula>$J$11&lt;&gt;"✓ 정상"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F4F"/>
    <pageSetUpPr fitToPage="true"/>
  </sheetPr>
  <dimension ref="A1:Q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7" min="4" style="0" width="8"/>
    <col collapsed="false" customWidth="true" hidden="false" outlineLevel="0" max="11" min="8" style="0" width="10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true" outlineLevel="0" max="17" min="14" style="0" width="13"/>
  </cols>
  <sheetData>
    <row r="1" customFormat="false" ht="19.7" hidden="false" customHeight="false" outlineLevel="0" collapsed="false">
      <c r="A1" s="20" t="s">
        <v>32</v>
      </c>
    </row>
    <row r="2" customFormat="false" ht="15" hidden="false" customHeight="false" outlineLevel="0" collapsed="false">
      <c r="A2" s="2" t="s">
        <v>33</v>
      </c>
    </row>
    <row r="3" customFormat="false" ht="21.75" hidden="false" customHeight="true" outlineLevel="0" collapsed="false">
      <c r="A3" s="6" t="s">
        <v>34</v>
      </c>
      <c r="B3" s="6" t="s">
        <v>35</v>
      </c>
      <c r="C3" s="6" t="s">
        <v>36</v>
      </c>
      <c r="D3" s="6" t="s">
        <v>37</v>
      </c>
      <c r="E3" s="6"/>
      <c r="F3" s="6"/>
      <c r="G3" s="6"/>
      <c r="H3" s="6" t="s">
        <v>38</v>
      </c>
      <c r="I3" s="6"/>
      <c r="J3" s="6"/>
      <c r="K3" s="6"/>
      <c r="L3" s="6" t="s">
        <v>39</v>
      </c>
      <c r="M3" s="6" t="s">
        <v>40</v>
      </c>
    </row>
    <row r="4" customFormat="false" ht="21.75" hidden="false" customHeight="true" outlineLevel="0" collapsed="false">
      <c r="A4" s="6"/>
      <c r="B4" s="6"/>
      <c r="C4" s="6"/>
      <c r="D4" s="3" t="str">
        <f aca="false">정산!$B$7</f>
        <v>철수</v>
      </c>
      <c r="E4" s="3" t="str">
        <f aca="false">정산!$B$8</f>
        <v>영희</v>
      </c>
      <c r="F4" s="3" t="str">
        <f aca="false">정산!$B$9</f>
        <v>민수</v>
      </c>
      <c r="G4" s="3" t="str">
        <f aca="false">정산!$B$10</f>
        <v>지훈</v>
      </c>
      <c r="H4" s="3" t="str">
        <f aca="false">정산!$B$7</f>
        <v>철수</v>
      </c>
      <c r="I4" s="3" t="str">
        <f aca="false">정산!$B$8</f>
        <v>영희</v>
      </c>
      <c r="J4" s="3" t="str">
        <f aca="false">정산!$B$9</f>
        <v>민수</v>
      </c>
      <c r="K4" s="3" t="str">
        <f aca="false">정산!$B$10</f>
        <v>지훈</v>
      </c>
      <c r="L4" s="6"/>
      <c r="M4" s="6"/>
      <c r="N4" s="21" t="s">
        <v>41</v>
      </c>
      <c r="O4" s="21" t="s">
        <v>42</v>
      </c>
      <c r="P4" s="21" t="s">
        <v>43</v>
      </c>
      <c r="Q4" s="21" t="s">
        <v>44</v>
      </c>
    </row>
    <row r="5" customFormat="false" ht="15" hidden="false" customHeight="false" outlineLevel="0" collapsed="false">
      <c r="A5" s="22" t="n">
        <v>1</v>
      </c>
      <c r="B5" s="23"/>
      <c r="C5" s="23"/>
      <c r="D5" s="24"/>
      <c r="E5" s="24"/>
      <c r="F5" s="24"/>
      <c r="G5" s="24"/>
      <c r="H5" s="25" t="str">
        <f aca="false">IF(OR($B5="",$C5="",COUNTIF($D$4:$G$4,$B5)=0),"",IF($B5=H$4,$C5*정산!$C$4*(SUM($N5:$Q5)-N5),-$C5*정산!$C$4*N5))</f>
        <v/>
      </c>
      <c r="I5" s="25" t="str">
        <f aca="false">IF(OR($B5="",$C5="",COUNTIF($D$4:$G$4,$B5)=0),"",IF($B5=I$4,$C5*정산!$C$4*(SUM($N5:$Q5)-O5),-$C5*정산!$C$4*O5))</f>
        <v/>
      </c>
      <c r="J5" s="25" t="str">
        <f aca="false">IF(OR($B5="",$C5="",COUNTIF($D$4:$G$4,$B5)=0),"",IF($B5=J$4,$C5*정산!$C$4*(SUM($N5:$Q5)-P5),-$C5*정산!$C$4*P5))</f>
        <v/>
      </c>
      <c r="K5" s="25" t="str">
        <f aca="false">IF(OR($B5="",$C5="",COUNTIF($D$4:$G$4,$B5)=0),"",IF($B5=K$4,$C5*정산!$C$4*(SUM($N5:$Q5)-Q5),-$C5*정산!$C$4*Q5))</f>
        <v/>
      </c>
      <c r="L5" s="26" t="str">
        <f aca="false">IF(AND($B5="",$C5=""),"",IF($B5="","승자 선택!",IF($C5="","점수 입력!",IF(COUNTIF($D$4:$G$4,$B5)=0,"승자 이름?",IF(COUNTIF(D5:G5,"쉼")&lt;&gt;1,"쉼 1명 표시!",IF(INDEX(D5:G5,MATCH($B5,$D$4:$G$4,0))="쉼","승자가 쉼?","✓"))))))</f>
        <v/>
      </c>
      <c r="M5" s="27"/>
      <c r="N5" s="21" t="n">
        <f aca="false">IF(D5="쉼",0,IF(D5="",1,IFERROR(VALUE(LEFT(D5,1)),1)))</f>
        <v>1</v>
      </c>
      <c r="O5" s="21" t="n">
        <f aca="false">IF(E5="쉼",0,IF(E5="",1,IFERROR(VALUE(LEFT(E5,1)),1)))</f>
        <v>1</v>
      </c>
      <c r="P5" s="21" t="n">
        <f aca="false">IF(F5="쉼",0,IF(F5="",1,IFERROR(VALUE(LEFT(F5,1)),1)))</f>
        <v>1</v>
      </c>
      <c r="Q5" s="21" t="n">
        <f aca="false">IF(G5="쉼",0,IF(G5="",1,IFERROR(VALUE(LEFT(G5,1)),1)))</f>
        <v>1</v>
      </c>
    </row>
    <row r="6" customFormat="false" ht="15" hidden="false" customHeight="false" outlineLevel="0" collapsed="false">
      <c r="A6" s="22" t="n">
        <v>2</v>
      </c>
      <c r="B6" s="23"/>
      <c r="C6" s="23"/>
      <c r="D6" s="24"/>
      <c r="E6" s="24"/>
      <c r="F6" s="24"/>
      <c r="G6" s="24"/>
      <c r="H6" s="25" t="str">
        <f aca="false">IF(OR($B6="",$C6="",COUNTIF($D$4:$G$4,$B6)=0),"",IF($B6=H$4,$C6*정산!$C$4*(SUM($N6:$Q6)-N6),-$C6*정산!$C$4*N6))</f>
        <v/>
      </c>
      <c r="I6" s="25" t="str">
        <f aca="false">IF(OR($B6="",$C6="",COUNTIF($D$4:$G$4,$B6)=0),"",IF($B6=I$4,$C6*정산!$C$4*(SUM($N6:$Q6)-O6),-$C6*정산!$C$4*O6))</f>
        <v/>
      </c>
      <c r="J6" s="25" t="str">
        <f aca="false">IF(OR($B6="",$C6="",COUNTIF($D$4:$G$4,$B6)=0),"",IF($B6=J$4,$C6*정산!$C$4*(SUM($N6:$Q6)-P6),-$C6*정산!$C$4*P6))</f>
        <v/>
      </c>
      <c r="K6" s="25" t="str">
        <f aca="false">IF(OR($B6="",$C6="",COUNTIF($D$4:$G$4,$B6)=0),"",IF($B6=K$4,$C6*정산!$C$4*(SUM($N6:$Q6)-Q6),-$C6*정산!$C$4*Q6))</f>
        <v/>
      </c>
      <c r="L6" s="26" t="str">
        <f aca="false">IF(AND($B6="",$C6=""),"",IF($B6="","승자 선택!",IF($C6="","점수 입력!",IF(COUNTIF($D$4:$G$4,$B6)=0,"승자 이름?",IF(COUNTIF(D6:G6,"쉼")&lt;&gt;1,"쉼 1명 표시!",IF(INDEX(D6:G6,MATCH($B6,$D$4:$G$4,0))="쉼","승자가 쉼?","✓"))))))</f>
        <v/>
      </c>
      <c r="M6" s="27"/>
      <c r="N6" s="21" t="n">
        <f aca="false">IF(D6="쉼",0,IF(D6="",1,IFERROR(VALUE(LEFT(D6,1)),1)))</f>
        <v>1</v>
      </c>
      <c r="O6" s="21" t="n">
        <f aca="false">IF(E6="쉼",0,IF(E6="",1,IFERROR(VALUE(LEFT(E6,1)),1)))</f>
        <v>1</v>
      </c>
      <c r="P6" s="21" t="n">
        <f aca="false">IF(F6="쉼",0,IF(F6="",1,IFERROR(VALUE(LEFT(F6,1)),1)))</f>
        <v>1</v>
      </c>
      <c r="Q6" s="21" t="n">
        <f aca="false">IF(G6="쉼",0,IF(G6="",1,IFERROR(VALUE(LEFT(G6,1)),1)))</f>
        <v>1</v>
      </c>
    </row>
    <row r="7" customFormat="false" ht="15" hidden="false" customHeight="false" outlineLevel="0" collapsed="false">
      <c r="A7" s="22" t="n">
        <v>3</v>
      </c>
      <c r="B7" s="23"/>
      <c r="C7" s="23"/>
      <c r="D7" s="24"/>
      <c r="E7" s="24"/>
      <c r="F7" s="24"/>
      <c r="G7" s="24"/>
      <c r="H7" s="25" t="str">
        <f aca="false">IF(OR($B7="",$C7="",COUNTIF($D$4:$G$4,$B7)=0),"",IF($B7=H$4,$C7*정산!$C$4*(SUM($N7:$Q7)-N7),-$C7*정산!$C$4*N7))</f>
        <v/>
      </c>
      <c r="I7" s="25" t="str">
        <f aca="false">IF(OR($B7="",$C7="",COUNTIF($D$4:$G$4,$B7)=0),"",IF($B7=I$4,$C7*정산!$C$4*(SUM($N7:$Q7)-O7),-$C7*정산!$C$4*O7))</f>
        <v/>
      </c>
      <c r="J7" s="25" t="str">
        <f aca="false">IF(OR($B7="",$C7="",COUNTIF($D$4:$G$4,$B7)=0),"",IF($B7=J$4,$C7*정산!$C$4*(SUM($N7:$Q7)-P7),-$C7*정산!$C$4*P7))</f>
        <v/>
      </c>
      <c r="K7" s="25" t="str">
        <f aca="false">IF(OR($B7="",$C7="",COUNTIF($D$4:$G$4,$B7)=0),"",IF($B7=K$4,$C7*정산!$C$4*(SUM($N7:$Q7)-Q7),-$C7*정산!$C$4*Q7))</f>
        <v/>
      </c>
      <c r="L7" s="26" t="str">
        <f aca="false">IF(AND($B7="",$C7=""),"",IF($B7="","승자 선택!",IF($C7="","점수 입력!",IF(COUNTIF($D$4:$G$4,$B7)=0,"승자 이름?",IF(COUNTIF(D7:G7,"쉼")&lt;&gt;1,"쉼 1명 표시!",IF(INDEX(D7:G7,MATCH($B7,$D$4:$G$4,0))="쉼","승자가 쉼?","✓"))))))</f>
        <v/>
      </c>
      <c r="M7" s="27"/>
      <c r="N7" s="21" t="n">
        <f aca="false">IF(D7="쉼",0,IF(D7="",1,IFERROR(VALUE(LEFT(D7,1)),1)))</f>
        <v>1</v>
      </c>
      <c r="O7" s="21" t="n">
        <f aca="false">IF(E7="쉼",0,IF(E7="",1,IFERROR(VALUE(LEFT(E7,1)),1)))</f>
        <v>1</v>
      </c>
      <c r="P7" s="21" t="n">
        <f aca="false">IF(F7="쉼",0,IF(F7="",1,IFERROR(VALUE(LEFT(F7,1)),1)))</f>
        <v>1</v>
      </c>
      <c r="Q7" s="21" t="n">
        <f aca="false">IF(G7="쉼",0,IF(G7="",1,IFERROR(VALUE(LEFT(G7,1)),1)))</f>
        <v>1</v>
      </c>
    </row>
    <row r="8" customFormat="false" ht="15" hidden="false" customHeight="false" outlineLevel="0" collapsed="false">
      <c r="A8" s="22" t="n">
        <v>4</v>
      </c>
      <c r="B8" s="23"/>
      <c r="C8" s="23"/>
      <c r="D8" s="24"/>
      <c r="E8" s="24"/>
      <c r="F8" s="24"/>
      <c r="G8" s="24"/>
      <c r="H8" s="25" t="str">
        <f aca="false">IF(OR($B8="",$C8="",COUNTIF($D$4:$G$4,$B8)=0),"",IF($B8=H$4,$C8*정산!$C$4*(SUM($N8:$Q8)-N8),-$C8*정산!$C$4*N8))</f>
        <v/>
      </c>
      <c r="I8" s="25" t="str">
        <f aca="false">IF(OR($B8="",$C8="",COUNTIF($D$4:$G$4,$B8)=0),"",IF($B8=I$4,$C8*정산!$C$4*(SUM($N8:$Q8)-O8),-$C8*정산!$C$4*O8))</f>
        <v/>
      </c>
      <c r="J8" s="25" t="str">
        <f aca="false">IF(OR($B8="",$C8="",COUNTIF($D$4:$G$4,$B8)=0),"",IF($B8=J$4,$C8*정산!$C$4*(SUM($N8:$Q8)-P8),-$C8*정산!$C$4*P8))</f>
        <v/>
      </c>
      <c r="K8" s="25" t="str">
        <f aca="false">IF(OR($B8="",$C8="",COUNTIF($D$4:$G$4,$B8)=0),"",IF($B8=K$4,$C8*정산!$C$4*(SUM($N8:$Q8)-Q8),-$C8*정산!$C$4*Q8))</f>
        <v/>
      </c>
      <c r="L8" s="26" t="str">
        <f aca="false">IF(AND($B8="",$C8=""),"",IF($B8="","승자 선택!",IF($C8="","점수 입력!",IF(COUNTIF($D$4:$G$4,$B8)=0,"승자 이름?",IF(COUNTIF(D8:G8,"쉼")&lt;&gt;1,"쉼 1명 표시!",IF(INDEX(D8:G8,MATCH($B8,$D$4:$G$4,0))="쉼","승자가 쉼?","✓"))))))</f>
        <v/>
      </c>
      <c r="M8" s="27"/>
      <c r="N8" s="21" t="n">
        <f aca="false">IF(D8="쉼",0,IF(D8="",1,IFERROR(VALUE(LEFT(D8,1)),1)))</f>
        <v>1</v>
      </c>
      <c r="O8" s="21" t="n">
        <f aca="false">IF(E8="쉼",0,IF(E8="",1,IFERROR(VALUE(LEFT(E8,1)),1)))</f>
        <v>1</v>
      </c>
      <c r="P8" s="21" t="n">
        <f aca="false">IF(F8="쉼",0,IF(F8="",1,IFERROR(VALUE(LEFT(F8,1)),1)))</f>
        <v>1</v>
      </c>
      <c r="Q8" s="21" t="n">
        <f aca="false">IF(G8="쉼",0,IF(G8="",1,IFERROR(VALUE(LEFT(G8,1)),1)))</f>
        <v>1</v>
      </c>
    </row>
    <row r="9" customFormat="false" ht="15" hidden="false" customHeight="false" outlineLevel="0" collapsed="false">
      <c r="A9" s="22" t="n">
        <v>5</v>
      </c>
      <c r="B9" s="23"/>
      <c r="C9" s="23"/>
      <c r="D9" s="24"/>
      <c r="E9" s="24"/>
      <c r="F9" s="24"/>
      <c r="G9" s="24"/>
      <c r="H9" s="25" t="str">
        <f aca="false">IF(OR($B9="",$C9="",COUNTIF($D$4:$G$4,$B9)=0),"",IF($B9=H$4,$C9*정산!$C$4*(SUM($N9:$Q9)-N9),-$C9*정산!$C$4*N9))</f>
        <v/>
      </c>
      <c r="I9" s="25" t="str">
        <f aca="false">IF(OR($B9="",$C9="",COUNTIF($D$4:$G$4,$B9)=0),"",IF($B9=I$4,$C9*정산!$C$4*(SUM($N9:$Q9)-O9),-$C9*정산!$C$4*O9))</f>
        <v/>
      </c>
      <c r="J9" s="25" t="str">
        <f aca="false">IF(OR($B9="",$C9="",COUNTIF($D$4:$G$4,$B9)=0),"",IF($B9=J$4,$C9*정산!$C$4*(SUM($N9:$Q9)-P9),-$C9*정산!$C$4*P9))</f>
        <v/>
      </c>
      <c r="K9" s="25" t="str">
        <f aca="false">IF(OR($B9="",$C9="",COUNTIF($D$4:$G$4,$B9)=0),"",IF($B9=K$4,$C9*정산!$C$4*(SUM($N9:$Q9)-Q9),-$C9*정산!$C$4*Q9))</f>
        <v/>
      </c>
      <c r="L9" s="26" t="str">
        <f aca="false">IF(AND($B9="",$C9=""),"",IF($B9="","승자 선택!",IF($C9="","점수 입력!",IF(COUNTIF($D$4:$G$4,$B9)=0,"승자 이름?",IF(COUNTIF(D9:G9,"쉼")&lt;&gt;1,"쉼 1명 표시!",IF(INDEX(D9:G9,MATCH($B9,$D$4:$G$4,0))="쉼","승자가 쉼?","✓"))))))</f>
        <v/>
      </c>
      <c r="M9" s="27"/>
      <c r="N9" s="21" t="n">
        <f aca="false">IF(D9="쉼",0,IF(D9="",1,IFERROR(VALUE(LEFT(D9,1)),1)))</f>
        <v>1</v>
      </c>
      <c r="O9" s="21" t="n">
        <f aca="false">IF(E9="쉼",0,IF(E9="",1,IFERROR(VALUE(LEFT(E9,1)),1)))</f>
        <v>1</v>
      </c>
      <c r="P9" s="21" t="n">
        <f aca="false">IF(F9="쉼",0,IF(F9="",1,IFERROR(VALUE(LEFT(F9,1)),1)))</f>
        <v>1</v>
      </c>
      <c r="Q9" s="21" t="n">
        <f aca="false">IF(G9="쉼",0,IF(G9="",1,IFERROR(VALUE(LEFT(G9,1)),1)))</f>
        <v>1</v>
      </c>
    </row>
    <row r="10" customFormat="false" ht="15" hidden="false" customHeight="false" outlineLevel="0" collapsed="false">
      <c r="A10" s="22" t="n">
        <v>6</v>
      </c>
      <c r="B10" s="23"/>
      <c r="C10" s="23"/>
      <c r="D10" s="24"/>
      <c r="E10" s="24"/>
      <c r="F10" s="24"/>
      <c r="G10" s="24"/>
      <c r="H10" s="25" t="str">
        <f aca="false">IF(OR($B10="",$C10="",COUNTIF($D$4:$G$4,$B10)=0),"",IF($B10=H$4,$C10*정산!$C$4*(SUM($N10:$Q10)-N10),-$C10*정산!$C$4*N10))</f>
        <v/>
      </c>
      <c r="I10" s="25" t="str">
        <f aca="false">IF(OR($B10="",$C10="",COUNTIF($D$4:$G$4,$B10)=0),"",IF($B10=I$4,$C10*정산!$C$4*(SUM($N10:$Q10)-O10),-$C10*정산!$C$4*O10))</f>
        <v/>
      </c>
      <c r="J10" s="25" t="str">
        <f aca="false">IF(OR($B10="",$C10="",COUNTIF($D$4:$G$4,$B10)=0),"",IF($B10=J$4,$C10*정산!$C$4*(SUM($N10:$Q10)-P10),-$C10*정산!$C$4*P10))</f>
        <v/>
      </c>
      <c r="K10" s="25" t="str">
        <f aca="false">IF(OR($B10="",$C10="",COUNTIF($D$4:$G$4,$B10)=0),"",IF($B10=K$4,$C10*정산!$C$4*(SUM($N10:$Q10)-Q10),-$C10*정산!$C$4*Q10))</f>
        <v/>
      </c>
      <c r="L10" s="26" t="str">
        <f aca="false">IF(AND($B10="",$C10=""),"",IF($B10="","승자 선택!",IF($C10="","점수 입력!",IF(COUNTIF($D$4:$G$4,$B10)=0,"승자 이름?",IF(COUNTIF(D10:G10,"쉼")&lt;&gt;1,"쉼 1명 표시!",IF(INDEX(D10:G10,MATCH($B10,$D$4:$G$4,0))="쉼","승자가 쉼?","✓"))))))</f>
        <v/>
      </c>
      <c r="M10" s="27"/>
      <c r="N10" s="21" t="n">
        <f aca="false">IF(D10="쉼",0,IF(D10="",1,IFERROR(VALUE(LEFT(D10,1)),1)))</f>
        <v>1</v>
      </c>
      <c r="O10" s="21" t="n">
        <f aca="false">IF(E10="쉼",0,IF(E10="",1,IFERROR(VALUE(LEFT(E10,1)),1)))</f>
        <v>1</v>
      </c>
      <c r="P10" s="21" t="n">
        <f aca="false">IF(F10="쉼",0,IF(F10="",1,IFERROR(VALUE(LEFT(F10,1)),1)))</f>
        <v>1</v>
      </c>
      <c r="Q10" s="21" t="n">
        <f aca="false">IF(G10="쉼",0,IF(G10="",1,IFERROR(VALUE(LEFT(G10,1)),1)))</f>
        <v>1</v>
      </c>
    </row>
    <row r="11" customFormat="false" ht="15" hidden="false" customHeight="false" outlineLevel="0" collapsed="false">
      <c r="A11" s="22" t="n">
        <v>7</v>
      </c>
      <c r="B11" s="23"/>
      <c r="C11" s="23"/>
      <c r="D11" s="24"/>
      <c r="E11" s="24"/>
      <c r="F11" s="24"/>
      <c r="G11" s="24"/>
      <c r="H11" s="25" t="str">
        <f aca="false">IF(OR($B11="",$C11="",COUNTIF($D$4:$G$4,$B11)=0),"",IF($B11=H$4,$C11*정산!$C$4*(SUM($N11:$Q11)-N11),-$C11*정산!$C$4*N11))</f>
        <v/>
      </c>
      <c r="I11" s="25" t="str">
        <f aca="false">IF(OR($B11="",$C11="",COUNTIF($D$4:$G$4,$B11)=0),"",IF($B11=I$4,$C11*정산!$C$4*(SUM($N11:$Q11)-O11),-$C11*정산!$C$4*O11))</f>
        <v/>
      </c>
      <c r="J11" s="25" t="str">
        <f aca="false">IF(OR($B11="",$C11="",COUNTIF($D$4:$G$4,$B11)=0),"",IF($B11=J$4,$C11*정산!$C$4*(SUM($N11:$Q11)-P11),-$C11*정산!$C$4*P11))</f>
        <v/>
      </c>
      <c r="K11" s="25" t="str">
        <f aca="false">IF(OR($B11="",$C11="",COUNTIF($D$4:$G$4,$B11)=0),"",IF($B11=K$4,$C11*정산!$C$4*(SUM($N11:$Q11)-Q11),-$C11*정산!$C$4*Q11))</f>
        <v/>
      </c>
      <c r="L11" s="26" t="str">
        <f aca="false">IF(AND($B11="",$C11=""),"",IF($B11="","승자 선택!",IF($C11="","점수 입력!",IF(COUNTIF($D$4:$G$4,$B11)=0,"승자 이름?",IF(COUNTIF(D11:G11,"쉼")&lt;&gt;1,"쉼 1명 표시!",IF(INDEX(D11:G11,MATCH($B11,$D$4:$G$4,0))="쉼","승자가 쉼?","✓"))))))</f>
        <v/>
      </c>
      <c r="M11" s="27"/>
      <c r="N11" s="21" t="n">
        <f aca="false">IF(D11="쉼",0,IF(D11="",1,IFERROR(VALUE(LEFT(D11,1)),1)))</f>
        <v>1</v>
      </c>
      <c r="O11" s="21" t="n">
        <f aca="false">IF(E11="쉼",0,IF(E11="",1,IFERROR(VALUE(LEFT(E11,1)),1)))</f>
        <v>1</v>
      </c>
      <c r="P11" s="21" t="n">
        <f aca="false">IF(F11="쉼",0,IF(F11="",1,IFERROR(VALUE(LEFT(F11,1)),1)))</f>
        <v>1</v>
      </c>
      <c r="Q11" s="21" t="n">
        <f aca="false">IF(G11="쉼",0,IF(G11="",1,IFERROR(VALUE(LEFT(G11,1)),1)))</f>
        <v>1</v>
      </c>
    </row>
    <row r="12" customFormat="false" ht="15" hidden="false" customHeight="false" outlineLevel="0" collapsed="false">
      <c r="A12" s="22" t="n">
        <v>8</v>
      </c>
      <c r="B12" s="23"/>
      <c r="C12" s="23"/>
      <c r="D12" s="24"/>
      <c r="E12" s="24"/>
      <c r="F12" s="24"/>
      <c r="G12" s="24"/>
      <c r="H12" s="25" t="str">
        <f aca="false">IF(OR($B12="",$C12="",COUNTIF($D$4:$G$4,$B12)=0),"",IF($B12=H$4,$C12*정산!$C$4*(SUM($N12:$Q12)-N12),-$C12*정산!$C$4*N12))</f>
        <v/>
      </c>
      <c r="I12" s="25" t="str">
        <f aca="false">IF(OR($B12="",$C12="",COUNTIF($D$4:$G$4,$B12)=0),"",IF($B12=I$4,$C12*정산!$C$4*(SUM($N12:$Q12)-O12),-$C12*정산!$C$4*O12))</f>
        <v/>
      </c>
      <c r="J12" s="25" t="str">
        <f aca="false">IF(OR($B12="",$C12="",COUNTIF($D$4:$G$4,$B12)=0),"",IF($B12=J$4,$C12*정산!$C$4*(SUM($N12:$Q12)-P12),-$C12*정산!$C$4*P12))</f>
        <v/>
      </c>
      <c r="K12" s="25" t="str">
        <f aca="false">IF(OR($B12="",$C12="",COUNTIF($D$4:$G$4,$B12)=0),"",IF($B12=K$4,$C12*정산!$C$4*(SUM($N12:$Q12)-Q12),-$C12*정산!$C$4*Q12))</f>
        <v/>
      </c>
      <c r="L12" s="26" t="str">
        <f aca="false">IF(AND($B12="",$C12=""),"",IF($B12="","승자 선택!",IF($C12="","점수 입력!",IF(COUNTIF($D$4:$G$4,$B12)=0,"승자 이름?",IF(COUNTIF(D12:G12,"쉼")&lt;&gt;1,"쉼 1명 표시!",IF(INDEX(D12:G12,MATCH($B12,$D$4:$G$4,0))="쉼","승자가 쉼?","✓"))))))</f>
        <v/>
      </c>
      <c r="M12" s="27"/>
      <c r="N12" s="21" t="n">
        <f aca="false">IF(D12="쉼",0,IF(D12="",1,IFERROR(VALUE(LEFT(D12,1)),1)))</f>
        <v>1</v>
      </c>
      <c r="O12" s="21" t="n">
        <f aca="false">IF(E12="쉼",0,IF(E12="",1,IFERROR(VALUE(LEFT(E12,1)),1)))</f>
        <v>1</v>
      </c>
      <c r="P12" s="21" t="n">
        <f aca="false">IF(F12="쉼",0,IF(F12="",1,IFERROR(VALUE(LEFT(F12,1)),1)))</f>
        <v>1</v>
      </c>
      <c r="Q12" s="21" t="n">
        <f aca="false">IF(G12="쉼",0,IF(G12="",1,IFERROR(VALUE(LEFT(G12,1)),1)))</f>
        <v>1</v>
      </c>
    </row>
    <row r="13" customFormat="false" ht="15" hidden="false" customHeight="false" outlineLevel="0" collapsed="false">
      <c r="A13" s="22" t="n">
        <v>9</v>
      </c>
      <c r="B13" s="23"/>
      <c r="C13" s="23"/>
      <c r="D13" s="24"/>
      <c r="E13" s="24"/>
      <c r="F13" s="24"/>
      <c r="G13" s="24"/>
      <c r="H13" s="25" t="str">
        <f aca="false">IF(OR($B13="",$C13="",COUNTIF($D$4:$G$4,$B13)=0),"",IF($B13=H$4,$C13*정산!$C$4*(SUM($N13:$Q13)-N13),-$C13*정산!$C$4*N13))</f>
        <v/>
      </c>
      <c r="I13" s="25" t="str">
        <f aca="false">IF(OR($B13="",$C13="",COUNTIF($D$4:$G$4,$B13)=0),"",IF($B13=I$4,$C13*정산!$C$4*(SUM($N13:$Q13)-O13),-$C13*정산!$C$4*O13))</f>
        <v/>
      </c>
      <c r="J13" s="25" t="str">
        <f aca="false">IF(OR($B13="",$C13="",COUNTIF($D$4:$G$4,$B13)=0),"",IF($B13=J$4,$C13*정산!$C$4*(SUM($N13:$Q13)-P13),-$C13*정산!$C$4*P13))</f>
        <v/>
      </c>
      <c r="K13" s="25" t="str">
        <f aca="false">IF(OR($B13="",$C13="",COUNTIF($D$4:$G$4,$B13)=0),"",IF($B13=K$4,$C13*정산!$C$4*(SUM($N13:$Q13)-Q13),-$C13*정산!$C$4*Q13))</f>
        <v/>
      </c>
      <c r="L13" s="26" t="str">
        <f aca="false">IF(AND($B13="",$C13=""),"",IF($B13="","승자 선택!",IF($C13="","점수 입력!",IF(COUNTIF($D$4:$G$4,$B13)=0,"승자 이름?",IF(COUNTIF(D13:G13,"쉼")&lt;&gt;1,"쉼 1명 표시!",IF(INDEX(D13:G13,MATCH($B13,$D$4:$G$4,0))="쉼","승자가 쉼?","✓"))))))</f>
        <v/>
      </c>
      <c r="M13" s="27"/>
      <c r="N13" s="21" t="n">
        <f aca="false">IF(D13="쉼",0,IF(D13="",1,IFERROR(VALUE(LEFT(D13,1)),1)))</f>
        <v>1</v>
      </c>
      <c r="O13" s="21" t="n">
        <f aca="false">IF(E13="쉼",0,IF(E13="",1,IFERROR(VALUE(LEFT(E13,1)),1)))</f>
        <v>1</v>
      </c>
      <c r="P13" s="21" t="n">
        <f aca="false">IF(F13="쉼",0,IF(F13="",1,IFERROR(VALUE(LEFT(F13,1)),1)))</f>
        <v>1</v>
      </c>
      <c r="Q13" s="21" t="n">
        <f aca="false">IF(G13="쉼",0,IF(G13="",1,IFERROR(VALUE(LEFT(G13,1)),1)))</f>
        <v>1</v>
      </c>
    </row>
    <row r="14" customFormat="false" ht="15" hidden="false" customHeight="false" outlineLevel="0" collapsed="false">
      <c r="A14" s="22" t="n">
        <v>10</v>
      </c>
      <c r="B14" s="23"/>
      <c r="C14" s="23"/>
      <c r="D14" s="24"/>
      <c r="E14" s="24"/>
      <c r="F14" s="24"/>
      <c r="G14" s="24"/>
      <c r="H14" s="25" t="str">
        <f aca="false">IF(OR($B14="",$C14="",COUNTIF($D$4:$G$4,$B14)=0),"",IF($B14=H$4,$C14*정산!$C$4*(SUM($N14:$Q14)-N14),-$C14*정산!$C$4*N14))</f>
        <v/>
      </c>
      <c r="I14" s="25" t="str">
        <f aca="false">IF(OR($B14="",$C14="",COUNTIF($D$4:$G$4,$B14)=0),"",IF($B14=I$4,$C14*정산!$C$4*(SUM($N14:$Q14)-O14),-$C14*정산!$C$4*O14))</f>
        <v/>
      </c>
      <c r="J14" s="25" t="str">
        <f aca="false">IF(OR($B14="",$C14="",COUNTIF($D$4:$G$4,$B14)=0),"",IF($B14=J$4,$C14*정산!$C$4*(SUM($N14:$Q14)-P14),-$C14*정산!$C$4*P14))</f>
        <v/>
      </c>
      <c r="K14" s="25" t="str">
        <f aca="false">IF(OR($B14="",$C14="",COUNTIF($D$4:$G$4,$B14)=0),"",IF($B14=K$4,$C14*정산!$C$4*(SUM($N14:$Q14)-Q14),-$C14*정산!$C$4*Q14))</f>
        <v/>
      </c>
      <c r="L14" s="26" t="str">
        <f aca="false">IF(AND($B14="",$C14=""),"",IF($B14="","승자 선택!",IF($C14="","점수 입력!",IF(COUNTIF($D$4:$G$4,$B14)=0,"승자 이름?",IF(COUNTIF(D14:G14,"쉼")&lt;&gt;1,"쉼 1명 표시!",IF(INDEX(D14:G14,MATCH($B14,$D$4:$G$4,0))="쉼","승자가 쉼?","✓"))))))</f>
        <v/>
      </c>
      <c r="M14" s="27"/>
      <c r="N14" s="21" t="n">
        <f aca="false">IF(D14="쉼",0,IF(D14="",1,IFERROR(VALUE(LEFT(D14,1)),1)))</f>
        <v>1</v>
      </c>
      <c r="O14" s="21" t="n">
        <f aca="false">IF(E14="쉼",0,IF(E14="",1,IFERROR(VALUE(LEFT(E14,1)),1)))</f>
        <v>1</v>
      </c>
      <c r="P14" s="21" t="n">
        <f aca="false">IF(F14="쉼",0,IF(F14="",1,IFERROR(VALUE(LEFT(F14,1)),1)))</f>
        <v>1</v>
      </c>
      <c r="Q14" s="21" t="n">
        <f aca="false">IF(G14="쉼",0,IF(G14="",1,IFERROR(VALUE(LEFT(G14,1)),1)))</f>
        <v>1</v>
      </c>
    </row>
    <row r="15" customFormat="false" ht="15" hidden="false" customHeight="false" outlineLevel="0" collapsed="false">
      <c r="A15" s="22" t="n">
        <v>11</v>
      </c>
      <c r="B15" s="23"/>
      <c r="C15" s="23"/>
      <c r="D15" s="24"/>
      <c r="E15" s="24"/>
      <c r="F15" s="24"/>
      <c r="G15" s="24"/>
      <c r="H15" s="25" t="str">
        <f aca="false">IF(OR($B15="",$C15="",COUNTIF($D$4:$G$4,$B15)=0),"",IF($B15=H$4,$C15*정산!$C$4*(SUM($N15:$Q15)-N15),-$C15*정산!$C$4*N15))</f>
        <v/>
      </c>
      <c r="I15" s="25" t="str">
        <f aca="false">IF(OR($B15="",$C15="",COUNTIF($D$4:$G$4,$B15)=0),"",IF($B15=I$4,$C15*정산!$C$4*(SUM($N15:$Q15)-O15),-$C15*정산!$C$4*O15))</f>
        <v/>
      </c>
      <c r="J15" s="25" t="str">
        <f aca="false">IF(OR($B15="",$C15="",COUNTIF($D$4:$G$4,$B15)=0),"",IF($B15=J$4,$C15*정산!$C$4*(SUM($N15:$Q15)-P15),-$C15*정산!$C$4*P15))</f>
        <v/>
      </c>
      <c r="K15" s="25" t="str">
        <f aca="false">IF(OR($B15="",$C15="",COUNTIF($D$4:$G$4,$B15)=0),"",IF($B15=K$4,$C15*정산!$C$4*(SUM($N15:$Q15)-Q15),-$C15*정산!$C$4*Q15))</f>
        <v/>
      </c>
      <c r="L15" s="26" t="str">
        <f aca="false">IF(AND($B15="",$C15=""),"",IF($B15="","승자 선택!",IF($C15="","점수 입력!",IF(COUNTIF($D$4:$G$4,$B15)=0,"승자 이름?",IF(COUNTIF(D15:G15,"쉼")&lt;&gt;1,"쉼 1명 표시!",IF(INDEX(D15:G15,MATCH($B15,$D$4:$G$4,0))="쉼","승자가 쉼?","✓"))))))</f>
        <v/>
      </c>
      <c r="M15" s="27"/>
      <c r="N15" s="21" t="n">
        <f aca="false">IF(D15="쉼",0,IF(D15="",1,IFERROR(VALUE(LEFT(D15,1)),1)))</f>
        <v>1</v>
      </c>
      <c r="O15" s="21" t="n">
        <f aca="false">IF(E15="쉼",0,IF(E15="",1,IFERROR(VALUE(LEFT(E15,1)),1)))</f>
        <v>1</v>
      </c>
      <c r="P15" s="21" t="n">
        <f aca="false">IF(F15="쉼",0,IF(F15="",1,IFERROR(VALUE(LEFT(F15,1)),1)))</f>
        <v>1</v>
      </c>
      <c r="Q15" s="21" t="n">
        <f aca="false">IF(G15="쉼",0,IF(G15="",1,IFERROR(VALUE(LEFT(G15,1)),1)))</f>
        <v>1</v>
      </c>
    </row>
    <row r="16" customFormat="false" ht="15" hidden="false" customHeight="false" outlineLevel="0" collapsed="false">
      <c r="A16" s="22" t="n">
        <v>12</v>
      </c>
      <c r="B16" s="23"/>
      <c r="C16" s="23"/>
      <c r="D16" s="24"/>
      <c r="E16" s="24"/>
      <c r="F16" s="24"/>
      <c r="G16" s="24"/>
      <c r="H16" s="25" t="str">
        <f aca="false">IF(OR($B16="",$C16="",COUNTIF($D$4:$G$4,$B16)=0),"",IF($B16=H$4,$C16*정산!$C$4*(SUM($N16:$Q16)-N16),-$C16*정산!$C$4*N16))</f>
        <v/>
      </c>
      <c r="I16" s="25" t="str">
        <f aca="false">IF(OR($B16="",$C16="",COUNTIF($D$4:$G$4,$B16)=0),"",IF($B16=I$4,$C16*정산!$C$4*(SUM($N16:$Q16)-O16),-$C16*정산!$C$4*O16))</f>
        <v/>
      </c>
      <c r="J16" s="25" t="str">
        <f aca="false">IF(OR($B16="",$C16="",COUNTIF($D$4:$G$4,$B16)=0),"",IF($B16=J$4,$C16*정산!$C$4*(SUM($N16:$Q16)-P16),-$C16*정산!$C$4*P16))</f>
        <v/>
      </c>
      <c r="K16" s="25" t="str">
        <f aca="false">IF(OR($B16="",$C16="",COUNTIF($D$4:$G$4,$B16)=0),"",IF($B16=K$4,$C16*정산!$C$4*(SUM($N16:$Q16)-Q16),-$C16*정산!$C$4*Q16))</f>
        <v/>
      </c>
      <c r="L16" s="26" t="str">
        <f aca="false">IF(AND($B16="",$C16=""),"",IF($B16="","승자 선택!",IF($C16="","점수 입력!",IF(COUNTIF($D$4:$G$4,$B16)=0,"승자 이름?",IF(COUNTIF(D16:G16,"쉼")&lt;&gt;1,"쉼 1명 표시!",IF(INDEX(D16:G16,MATCH($B16,$D$4:$G$4,0))="쉼","승자가 쉼?","✓"))))))</f>
        <v/>
      </c>
      <c r="M16" s="27"/>
      <c r="N16" s="21" t="n">
        <f aca="false">IF(D16="쉼",0,IF(D16="",1,IFERROR(VALUE(LEFT(D16,1)),1)))</f>
        <v>1</v>
      </c>
      <c r="O16" s="21" t="n">
        <f aca="false">IF(E16="쉼",0,IF(E16="",1,IFERROR(VALUE(LEFT(E16,1)),1)))</f>
        <v>1</v>
      </c>
      <c r="P16" s="21" t="n">
        <f aca="false">IF(F16="쉼",0,IF(F16="",1,IFERROR(VALUE(LEFT(F16,1)),1)))</f>
        <v>1</v>
      </c>
      <c r="Q16" s="21" t="n">
        <f aca="false">IF(G16="쉼",0,IF(G16="",1,IFERROR(VALUE(LEFT(G16,1)),1)))</f>
        <v>1</v>
      </c>
    </row>
    <row r="17" customFormat="false" ht="15" hidden="false" customHeight="false" outlineLevel="0" collapsed="false">
      <c r="A17" s="22" t="n">
        <v>13</v>
      </c>
      <c r="B17" s="23"/>
      <c r="C17" s="23"/>
      <c r="D17" s="24"/>
      <c r="E17" s="24"/>
      <c r="F17" s="24"/>
      <c r="G17" s="24"/>
      <c r="H17" s="25" t="str">
        <f aca="false">IF(OR($B17="",$C17="",COUNTIF($D$4:$G$4,$B17)=0),"",IF($B17=H$4,$C17*정산!$C$4*(SUM($N17:$Q17)-N17),-$C17*정산!$C$4*N17))</f>
        <v/>
      </c>
      <c r="I17" s="25" t="str">
        <f aca="false">IF(OR($B17="",$C17="",COUNTIF($D$4:$G$4,$B17)=0),"",IF($B17=I$4,$C17*정산!$C$4*(SUM($N17:$Q17)-O17),-$C17*정산!$C$4*O17))</f>
        <v/>
      </c>
      <c r="J17" s="25" t="str">
        <f aca="false">IF(OR($B17="",$C17="",COUNTIF($D$4:$G$4,$B17)=0),"",IF($B17=J$4,$C17*정산!$C$4*(SUM($N17:$Q17)-P17),-$C17*정산!$C$4*P17))</f>
        <v/>
      </c>
      <c r="K17" s="25" t="str">
        <f aca="false">IF(OR($B17="",$C17="",COUNTIF($D$4:$G$4,$B17)=0),"",IF($B17=K$4,$C17*정산!$C$4*(SUM($N17:$Q17)-Q17),-$C17*정산!$C$4*Q17))</f>
        <v/>
      </c>
      <c r="L17" s="26" t="str">
        <f aca="false">IF(AND($B17="",$C17=""),"",IF($B17="","승자 선택!",IF($C17="","점수 입력!",IF(COUNTIF($D$4:$G$4,$B17)=0,"승자 이름?",IF(COUNTIF(D17:G17,"쉼")&lt;&gt;1,"쉼 1명 표시!",IF(INDEX(D17:G17,MATCH($B17,$D$4:$G$4,0))="쉼","승자가 쉼?","✓"))))))</f>
        <v/>
      </c>
      <c r="M17" s="27"/>
      <c r="N17" s="21" t="n">
        <f aca="false">IF(D17="쉼",0,IF(D17="",1,IFERROR(VALUE(LEFT(D17,1)),1)))</f>
        <v>1</v>
      </c>
      <c r="O17" s="21" t="n">
        <f aca="false">IF(E17="쉼",0,IF(E17="",1,IFERROR(VALUE(LEFT(E17,1)),1)))</f>
        <v>1</v>
      </c>
      <c r="P17" s="21" t="n">
        <f aca="false">IF(F17="쉼",0,IF(F17="",1,IFERROR(VALUE(LEFT(F17,1)),1)))</f>
        <v>1</v>
      </c>
      <c r="Q17" s="21" t="n">
        <f aca="false">IF(G17="쉼",0,IF(G17="",1,IFERROR(VALUE(LEFT(G17,1)),1)))</f>
        <v>1</v>
      </c>
    </row>
    <row r="18" customFormat="false" ht="15" hidden="false" customHeight="false" outlineLevel="0" collapsed="false">
      <c r="A18" s="22" t="n">
        <v>14</v>
      </c>
      <c r="B18" s="23"/>
      <c r="C18" s="23"/>
      <c r="D18" s="24"/>
      <c r="E18" s="24"/>
      <c r="F18" s="24"/>
      <c r="G18" s="24"/>
      <c r="H18" s="25" t="str">
        <f aca="false">IF(OR($B18="",$C18="",COUNTIF($D$4:$G$4,$B18)=0),"",IF($B18=H$4,$C18*정산!$C$4*(SUM($N18:$Q18)-N18),-$C18*정산!$C$4*N18))</f>
        <v/>
      </c>
      <c r="I18" s="25" t="str">
        <f aca="false">IF(OR($B18="",$C18="",COUNTIF($D$4:$G$4,$B18)=0),"",IF($B18=I$4,$C18*정산!$C$4*(SUM($N18:$Q18)-O18),-$C18*정산!$C$4*O18))</f>
        <v/>
      </c>
      <c r="J18" s="25" t="str">
        <f aca="false">IF(OR($B18="",$C18="",COUNTIF($D$4:$G$4,$B18)=0),"",IF($B18=J$4,$C18*정산!$C$4*(SUM($N18:$Q18)-P18),-$C18*정산!$C$4*P18))</f>
        <v/>
      </c>
      <c r="K18" s="25" t="str">
        <f aca="false">IF(OR($B18="",$C18="",COUNTIF($D$4:$G$4,$B18)=0),"",IF($B18=K$4,$C18*정산!$C$4*(SUM($N18:$Q18)-Q18),-$C18*정산!$C$4*Q18))</f>
        <v/>
      </c>
      <c r="L18" s="26" t="str">
        <f aca="false">IF(AND($B18="",$C18=""),"",IF($B18="","승자 선택!",IF($C18="","점수 입력!",IF(COUNTIF($D$4:$G$4,$B18)=0,"승자 이름?",IF(COUNTIF(D18:G18,"쉼")&lt;&gt;1,"쉼 1명 표시!",IF(INDEX(D18:G18,MATCH($B18,$D$4:$G$4,0))="쉼","승자가 쉼?","✓"))))))</f>
        <v/>
      </c>
      <c r="M18" s="27"/>
      <c r="N18" s="21" t="n">
        <f aca="false">IF(D18="쉼",0,IF(D18="",1,IFERROR(VALUE(LEFT(D18,1)),1)))</f>
        <v>1</v>
      </c>
      <c r="O18" s="21" t="n">
        <f aca="false">IF(E18="쉼",0,IF(E18="",1,IFERROR(VALUE(LEFT(E18,1)),1)))</f>
        <v>1</v>
      </c>
      <c r="P18" s="21" t="n">
        <f aca="false">IF(F18="쉼",0,IF(F18="",1,IFERROR(VALUE(LEFT(F18,1)),1)))</f>
        <v>1</v>
      </c>
      <c r="Q18" s="21" t="n">
        <f aca="false">IF(G18="쉼",0,IF(G18="",1,IFERROR(VALUE(LEFT(G18,1)),1)))</f>
        <v>1</v>
      </c>
    </row>
    <row r="19" customFormat="false" ht="15" hidden="false" customHeight="false" outlineLevel="0" collapsed="false">
      <c r="A19" s="22" t="n">
        <v>15</v>
      </c>
      <c r="B19" s="23"/>
      <c r="C19" s="23"/>
      <c r="D19" s="24"/>
      <c r="E19" s="24"/>
      <c r="F19" s="24"/>
      <c r="G19" s="24"/>
      <c r="H19" s="25" t="str">
        <f aca="false">IF(OR($B19="",$C19="",COUNTIF($D$4:$G$4,$B19)=0),"",IF($B19=H$4,$C19*정산!$C$4*(SUM($N19:$Q19)-N19),-$C19*정산!$C$4*N19))</f>
        <v/>
      </c>
      <c r="I19" s="25" t="str">
        <f aca="false">IF(OR($B19="",$C19="",COUNTIF($D$4:$G$4,$B19)=0),"",IF($B19=I$4,$C19*정산!$C$4*(SUM($N19:$Q19)-O19),-$C19*정산!$C$4*O19))</f>
        <v/>
      </c>
      <c r="J19" s="25" t="str">
        <f aca="false">IF(OR($B19="",$C19="",COUNTIF($D$4:$G$4,$B19)=0),"",IF($B19=J$4,$C19*정산!$C$4*(SUM($N19:$Q19)-P19),-$C19*정산!$C$4*P19))</f>
        <v/>
      </c>
      <c r="K19" s="25" t="str">
        <f aca="false">IF(OR($B19="",$C19="",COUNTIF($D$4:$G$4,$B19)=0),"",IF($B19=K$4,$C19*정산!$C$4*(SUM($N19:$Q19)-Q19),-$C19*정산!$C$4*Q19))</f>
        <v/>
      </c>
      <c r="L19" s="26" t="str">
        <f aca="false">IF(AND($B19="",$C19=""),"",IF($B19="","승자 선택!",IF($C19="","점수 입력!",IF(COUNTIF($D$4:$G$4,$B19)=0,"승자 이름?",IF(COUNTIF(D19:G19,"쉼")&lt;&gt;1,"쉼 1명 표시!",IF(INDEX(D19:G19,MATCH($B19,$D$4:$G$4,0))="쉼","승자가 쉼?","✓"))))))</f>
        <v/>
      </c>
      <c r="M19" s="27"/>
      <c r="N19" s="21" t="n">
        <f aca="false">IF(D19="쉼",0,IF(D19="",1,IFERROR(VALUE(LEFT(D19,1)),1)))</f>
        <v>1</v>
      </c>
      <c r="O19" s="21" t="n">
        <f aca="false">IF(E19="쉼",0,IF(E19="",1,IFERROR(VALUE(LEFT(E19,1)),1)))</f>
        <v>1</v>
      </c>
      <c r="P19" s="21" t="n">
        <f aca="false">IF(F19="쉼",0,IF(F19="",1,IFERROR(VALUE(LEFT(F19,1)),1)))</f>
        <v>1</v>
      </c>
      <c r="Q19" s="21" t="n">
        <f aca="false">IF(G19="쉼",0,IF(G19="",1,IFERROR(VALUE(LEFT(G19,1)),1)))</f>
        <v>1</v>
      </c>
    </row>
    <row r="20" customFormat="false" ht="15" hidden="false" customHeight="false" outlineLevel="0" collapsed="false">
      <c r="A20" s="22" t="n">
        <v>16</v>
      </c>
      <c r="B20" s="23"/>
      <c r="C20" s="23"/>
      <c r="D20" s="24"/>
      <c r="E20" s="24"/>
      <c r="F20" s="24"/>
      <c r="G20" s="24"/>
      <c r="H20" s="25" t="str">
        <f aca="false">IF(OR($B20="",$C20="",COUNTIF($D$4:$G$4,$B20)=0),"",IF($B20=H$4,$C20*정산!$C$4*(SUM($N20:$Q20)-N20),-$C20*정산!$C$4*N20))</f>
        <v/>
      </c>
      <c r="I20" s="25" t="str">
        <f aca="false">IF(OR($B20="",$C20="",COUNTIF($D$4:$G$4,$B20)=0),"",IF($B20=I$4,$C20*정산!$C$4*(SUM($N20:$Q20)-O20),-$C20*정산!$C$4*O20))</f>
        <v/>
      </c>
      <c r="J20" s="25" t="str">
        <f aca="false">IF(OR($B20="",$C20="",COUNTIF($D$4:$G$4,$B20)=0),"",IF($B20=J$4,$C20*정산!$C$4*(SUM($N20:$Q20)-P20),-$C20*정산!$C$4*P20))</f>
        <v/>
      </c>
      <c r="K20" s="25" t="str">
        <f aca="false">IF(OR($B20="",$C20="",COUNTIF($D$4:$G$4,$B20)=0),"",IF($B20=K$4,$C20*정산!$C$4*(SUM($N20:$Q20)-Q20),-$C20*정산!$C$4*Q20))</f>
        <v/>
      </c>
      <c r="L20" s="26" t="str">
        <f aca="false">IF(AND($B20="",$C20=""),"",IF($B20="","승자 선택!",IF($C20="","점수 입력!",IF(COUNTIF($D$4:$G$4,$B20)=0,"승자 이름?",IF(COUNTIF(D20:G20,"쉼")&lt;&gt;1,"쉼 1명 표시!",IF(INDEX(D20:G20,MATCH($B20,$D$4:$G$4,0))="쉼","승자가 쉼?","✓"))))))</f>
        <v/>
      </c>
      <c r="M20" s="27"/>
      <c r="N20" s="21" t="n">
        <f aca="false">IF(D20="쉼",0,IF(D20="",1,IFERROR(VALUE(LEFT(D20,1)),1)))</f>
        <v>1</v>
      </c>
      <c r="O20" s="21" t="n">
        <f aca="false">IF(E20="쉼",0,IF(E20="",1,IFERROR(VALUE(LEFT(E20,1)),1)))</f>
        <v>1</v>
      </c>
      <c r="P20" s="21" t="n">
        <f aca="false">IF(F20="쉼",0,IF(F20="",1,IFERROR(VALUE(LEFT(F20,1)),1)))</f>
        <v>1</v>
      </c>
      <c r="Q20" s="21" t="n">
        <f aca="false">IF(G20="쉼",0,IF(G20="",1,IFERROR(VALUE(LEFT(G20,1)),1)))</f>
        <v>1</v>
      </c>
    </row>
    <row r="21" customFormat="false" ht="15" hidden="false" customHeight="false" outlineLevel="0" collapsed="false">
      <c r="A21" s="22" t="n">
        <v>17</v>
      </c>
      <c r="B21" s="23"/>
      <c r="C21" s="23"/>
      <c r="D21" s="24"/>
      <c r="E21" s="24"/>
      <c r="F21" s="24"/>
      <c r="G21" s="24"/>
      <c r="H21" s="25" t="str">
        <f aca="false">IF(OR($B21="",$C21="",COUNTIF($D$4:$G$4,$B21)=0),"",IF($B21=H$4,$C21*정산!$C$4*(SUM($N21:$Q21)-N21),-$C21*정산!$C$4*N21))</f>
        <v/>
      </c>
      <c r="I21" s="25" t="str">
        <f aca="false">IF(OR($B21="",$C21="",COUNTIF($D$4:$G$4,$B21)=0),"",IF($B21=I$4,$C21*정산!$C$4*(SUM($N21:$Q21)-O21),-$C21*정산!$C$4*O21))</f>
        <v/>
      </c>
      <c r="J21" s="25" t="str">
        <f aca="false">IF(OR($B21="",$C21="",COUNTIF($D$4:$G$4,$B21)=0),"",IF($B21=J$4,$C21*정산!$C$4*(SUM($N21:$Q21)-P21),-$C21*정산!$C$4*P21))</f>
        <v/>
      </c>
      <c r="K21" s="25" t="str">
        <f aca="false">IF(OR($B21="",$C21="",COUNTIF($D$4:$G$4,$B21)=0),"",IF($B21=K$4,$C21*정산!$C$4*(SUM($N21:$Q21)-Q21),-$C21*정산!$C$4*Q21))</f>
        <v/>
      </c>
      <c r="L21" s="26" t="str">
        <f aca="false">IF(AND($B21="",$C21=""),"",IF($B21="","승자 선택!",IF($C21="","점수 입력!",IF(COUNTIF($D$4:$G$4,$B21)=0,"승자 이름?",IF(COUNTIF(D21:G21,"쉼")&lt;&gt;1,"쉼 1명 표시!",IF(INDEX(D21:G21,MATCH($B21,$D$4:$G$4,0))="쉼","승자가 쉼?","✓"))))))</f>
        <v/>
      </c>
      <c r="M21" s="27"/>
      <c r="N21" s="21" t="n">
        <f aca="false">IF(D21="쉼",0,IF(D21="",1,IFERROR(VALUE(LEFT(D21,1)),1)))</f>
        <v>1</v>
      </c>
      <c r="O21" s="21" t="n">
        <f aca="false">IF(E21="쉼",0,IF(E21="",1,IFERROR(VALUE(LEFT(E21,1)),1)))</f>
        <v>1</v>
      </c>
      <c r="P21" s="21" t="n">
        <f aca="false">IF(F21="쉼",0,IF(F21="",1,IFERROR(VALUE(LEFT(F21,1)),1)))</f>
        <v>1</v>
      </c>
      <c r="Q21" s="21" t="n">
        <f aca="false">IF(G21="쉼",0,IF(G21="",1,IFERROR(VALUE(LEFT(G21,1)),1)))</f>
        <v>1</v>
      </c>
    </row>
    <row r="22" customFormat="false" ht="15" hidden="false" customHeight="false" outlineLevel="0" collapsed="false">
      <c r="A22" s="22" t="n">
        <v>18</v>
      </c>
      <c r="B22" s="23"/>
      <c r="C22" s="23"/>
      <c r="D22" s="24"/>
      <c r="E22" s="24"/>
      <c r="F22" s="24"/>
      <c r="G22" s="24"/>
      <c r="H22" s="25" t="str">
        <f aca="false">IF(OR($B22="",$C22="",COUNTIF($D$4:$G$4,$B22)=0),"",IF($B22=H$4,$C22*정산!$C$4*(SUM($N22:$Q22)-N22),-$C22*정산!$C$4*N22))</f>
        <v/>
      </c>
      <c r="I22" s="25" t="str">
        <f aca="false">IF(OR($B22="",$C22="",COUNTIF($D$4:$G$4,$B22)=0),"",IF($B22=I$4,$C22*정산!$C$4*(SUM($N22:$Q22)-O22),-$C22*정산!$C$4*O22))</f>
        <v/>
      </c>
      <c r="J22" s="25" t="str">
        <f aca="false">IF(OR($B22="",$C22="",COUNTIF($D$4:$G$4,$B22)=0),"",IF($B22=J$4,$C22*정산!$C$4*(SUM($N22:$Q22)-P22),-$C22*정산!$C$4*P22))</f>
        <v/>
      </c>
      <c r="K22" s="25" t="str">
        <f aca="false">IF(OR($B22="",$C22="",COUNTIF($D$4:$G$4,$B22)=0),"",IF($B22=K$4,$C22*정산!$C$4*(SUM($N22:$Q22)-Q22),-$C22*정산!$C$4*Q22))</f>
        <v/>
      </c>
      <c r="L22" s="26" t="str">
        <f aca="false">IF(AND($B22="",$C22=""),"",IF($B22="","승자 선택!",IF($C22="","점수 입력!",IF(COUNTIF($D$4:$G$4,$B22)=0,"승자 이름?",IF(COUNTIF(D22:G22,"쉼")&lt;&gt;1,"쉼 1명 표시!",IF(INDEX(D22:G22,MATCH($B22,$D$4:$G$4,0))="쉼","승자가 쉼?","✓"))))))</f>
        <v/>
      </c>
      <c r="M22" s="27"/>
      <c r="N22" s="21" t="n">
        <f aca="false">IF(D22="쉼",0,IF(D22="",1,IFERROR(VALUE(LEFT(D22,1)),1)))</f>
        <v>1</v>
      </c>
      <c r="O22" s="21" t="n">
        <f aca="false">IF(E22="쉼",0,IF(E22="",1,IFERROR(VALUE(LEFT(E22,1)),1)))</f>
        <v>1</v>
      </c>
      <c r="P22" s="21" t="n">
        <f aca="false">IF(F22="쉼",0,IF(F22="",1,IFERROR(VALUE(LEFT(F22,1)),1)))</f>
        <v>1</v>
      </c>
      <c r="Q22" s="21" t="n">
        <f aca="false">IF(G22="쉼",0,IF(G22="",1,IFERROR(VALUE(LEFT(G22,1)),1)))</f>
        <v>1</v>
      </c>
    </row>
    <row r="23" customFormat="false" ht="15" hidden="false" customHeight="false" outlineLevel="0" collapsed="false">
      <c r="A23" s="22" t="n">
        <v>19</v>
      </c>
      <c r="B23" s="23"/>
      <c r="C23" s="23"/>
      <c r="D23" s="24"/>
      <c r="E23" s="24"/>
      <c r="F23" s="24"/>
      <c r="G23" s="24"/>
      <c r="H23" s="25" t="str">
        <f aca="false">IF(OR($B23="",$C23="",COUNTIF($D$4:$G$4,$B23)=0),"",IF($B23=H$4,$C23*정산!$C$4*(SUM($N23:$Q23)-N23),-$C23*정산!$C$4*N23))</f>
        <v/>
      </c>
      <c r="I23" s="25" t="str">
        <f aca="false">IF(OR($B23="",$C23="",COUNTIF($D$4:$G$4,$B23)=0),"",IF($B23=I$4,$C23*정산!$C$4*(SUM($N23:$Q23)-O23),-$C23*정산!$C$4*O23))</f>
        <v/>
      </c>
      <c r="J23" s="25" t="str">
        <f aca="false">IF(OR($B23="",$C23="",COUNTIF($D$4:$G$4,$B23)=0),"",IF($B23=J$4,$C23*정산!$C$4*(SUM($N23:$Q23)-P23),-$C23*정산!$C$4*P23))</f>
        <v/>
      </c>
      <c r="K23" s="25" t="str">
        <f aca="false">IF(OR($B23="",$C23="",COUNTIF($D$4:$G$4,$B23)=0),"",IF($B23=K$4,$C23*정산!$C$4*(SUM($N23:$Q23)-Q23),-$C23*정산!$C$4*Q23))</f>
        <v/>
      </c>
      <c r="L23" s="26" t="str">
        <f aca="false">IF(AND($B23="",$C23=""),"",IF($B23="","승자 선택!",IF($C23="","점수 입력!",IF(COUNTIF($D$4:$G$4,$B23)=0,"승자 이름?",IF(COUNTIF(D23:G23,"쉼")&lt;&gt;1,"쉼 1명 표시!",IF(INDEX(D23:G23,MATCH($B23,$D$4:$G$4,0))="쉼","승자가 쉼?","✓"))))))</f>
        <v/>
      </c>
      <c r="M23" s="27"/>
      <c r="N23" s="21" t="n">
        <f aca="false">IF(D23="쉼",0,IF(D23="",1,IFERROR(VALUE(LEFT(D23,1)),1)))</f>
        <v>1</v>
      </c>
      <c r="O23" s="21" t="n">
        <f aca="false">IF(E23="쉼",0,IF(E23="",1,IFERROR(VALUE(LEFT(E23,1)),1)))</f>
        <v>1</v>
      </c>
      <c r="P23" s="21" t="n">
        <f aca="false">IF(F23="쉼",0,IF(F23="",1,IFERROR(VALUE(LEFT(F23,1)),1)))</f>
        <v>1</v>
      </c>
      <c r="Q23" s="21" t="n">
        <f aca="false">IF(G23="쉼",0,IF(G23="",1,IFERROR(VALUE(LEFT(G23,1)),1)))</f>
        <v>1</v>
      </c>
    </row>
    <row r="24" customFormat="false" ht="15" hidden="false" customHeight="false" outlineLevel="0" collapsed="false">
      <c r="A24" s="22" t="n">
        <v>20</v>
      </c>
      <c r="B24" s="23"/>
      <c r="C24" s="23"/>
      <c r="D24" s="24"/>
      <c r="E24" s="24"/>
      <c r="F24" s="24"/>
      <c r="G24" s="24"/>
      <c r="H24" s="25" t="str">
        <f aca="false">IF(OR($B24="",$C24="",COUNTIF($D$4:$G$4,$B24)=0),"",IF($B24=H$4,$C24*정산!$C$4*(SUM($N24:$Q24)-N24),-$C24*정산!$C$4*N24))</f>
        <v/>
      </c>
      <c r="I24" s="25" t="str">
        <f aca="false">IF(OR($B24="",$C24="",COUNTIF($D$4:$G$4,$B24)=0),"",IF($B24=I$4,$C24*정산!$C$4*(SUM($N24:$Q24)-O24),-$C24*정산!$C$4*O24))</f>
        <v/>
      </c>
      <c r="J24" s="25" t="str">
        <f aca="false">IF(OR($B24="",$C24="",COUNTIF($D$4:$G$4,$B24)=0),"",IF($B24=J$4,$C24*정산!$C$4*(SUM($N24:$Q24)-P24),-$C24*정산!$C$4*P24))</f>
        <v/>
      </c>
      <c r="K24" s="25" t="str">
        <f aca="false">IF(OR($B24="",$C24="",COUNTIF($D$4:$G$4,$B24)=0),"",IF($B24=K$4,$C24*정산!$C$4*(SUM($N24:$Q24)-Q24),-$C24*정산!$C$4*Q24))</f>
        <v/>
      </c>
      <c r="L24" s="26" t="str">
        <f aca="false">IF(AND($B24="",$C24=""),"",IF($B24="","승자 선택!",IF($C24="","점수 입력!",IF(COUNTIF($D$4:$G$4,$B24)=0,"승자 이름?",IF(COUNTIF(D24:G24,"쉼")&lt;&gt;1,"쉼 1명 표시!",IF(INDEX(D24:G24,MATCH($B24,$D$4:$G$4,0))="쉼","승자가 쉼?","✓"))))))</f>
        <v/>
      </c>
      <c r="M24" s="27"/>
      <c r="N24" s="21" t="n">
        <f aca="false">IF(D24="쉼",0,IF(D24="",1,IFERROR(VALUE(LEFT(D24,1)),1)))</f>
        <v>1</v>
      </c>
      <c r="O24" s="21" t="n">
        <f aca="false">IF(E24="쉼",0,IF(E24="",1,IFERROR(VALUE(LEFT(E24,1)),1)))</f>
        <v>1</v>
      </c>
      <c r="P24" s="21" t="n">
        <f aca="false">IF(F24="쉼",0,IF(F24="",1,IFERROR(VALUE(LEFT(F24,1)),1)))</f>
        <v>1</v>
      </c>
      <c r="Q24" s="21" t="n">
        <f aca="false">IF(G24="쉼",0,IF(G24="",1,IFERROR(VALUE(LEFT(G24,1)),1)))</f>
        <v>1</v>
      </c>
    </row>
    <row r="25" customFormat="false" ht="15" hidden="false" customHeight="false" outlineLevel="0" collapsed="false">
      <c r="A25" s="22" t="n">
        <v>21</v>
      </c>
      <c r="B25" s="23"/>
      <c r="C25" s="23"/>
      <c r="D25" s="24"/>
      <c r="E25" s="24"/>
      <c r="F25" s="24"/>
      <c r="G25" s="24"/>
      <c r="H25" s="25" t="str">
        <f aca="false">IF(OR($B25="",$C25="",COUNTIF($D$4:$G$4,$B25)=0),"",IF($B25=H$4,$C25*정산!$C$4*(SUM($N25:$Q25)-N25),-$C25*정산!$C$4*N25))</f>
        <v/>
      </c>
      <c r="I25" s="25" t="str">
        <f aca="false">IF(OR($B25="",$C25="",COUNTIF($D$4:$G$4,$B25)=0),"",IF($B25=I$4,$C25*정산!$C$4*(SUM($N25:$Q25)-O25),-$C25*정산!$C$4*O25))</f>
        <v/>
      </c>
      <c r="J25" s="25" t="str">
        <f aca="false">IF(OR($B25="",$C25="",COUNTIF($D$4:$G$4,$B25)=0),"",IF($B25=J$4,$C25*정산!$C$4*(SUM($N25:$Q25)-P25),-$C25*정산!$C$4*P25))</f>
        <v/>
      </c>
      <c r="K25" s="25" t="str">
        <f aca="false">IF(OR($B25="",$C25="",COUNTIF($D$4:$G$4,$B25)=0),"",IF($B25=K$4,$C25*정산!$C$4*(SUM($N25:$Q25)-Q25),-$C25*정산!$C$4*Q25))</f>
        <v/>
      </c>
      <c r="L25" s="26" t="str">
        <f aca="false">IF(AND($B25="",$C25=""),"",IF($B25="","승자 선택!",IF($C25="","점수 입력!",IF(COUNTIF($D$4:$G$4,$B25)=0,"승자 이름?",IF(COUNTIF(D25:G25,"쉼")&lt;&gt;1,"쉼 1명 표시!",IF(INDEX(D25:G25,MATCH($B25,$D$4:$G$4,0))="쉼","승자가 쉼?","✓"))))))</f>
        <v/>
      </c>
      <c r="M25" s="27"/>
      <c r="N25" s="21" t="n">
        <f aca="false">IF(D25="쉼",0,IF(D25="",1,IFERROR(VALUE(LEFT(D25,1)),1)))</f>
        <v>1</v>
      </c>
      <c r="O25" s="21" t="n">
        <f aca="false">IF(E25="쉼",0,IF(E25="",1,IFERROR(VALUE(LEFT(E25,1)),1)))</f>
        <v>1</v>
      </c>
      <c r="P25" s="21" t="n">
        <f aca="false">IF(F25="쉼",0,IF(F25="",1,IFERROR(VALUE(LEFT(F25,1)),1)))</f>
        <v>1</v>
      </c>
      <c r="Q25" s="21" t="n">
        <f aca="false">IF(G25="쉼",0,IF(G25="",1,IFERROR(VALUE(LEFT(G25,1)),1)))</f>
        <v>1</v>
      </c>
    </row>
    <row r="26" customFormat="false" ht="15" hidden="false" customHeight="false" outlineLevel="0" collapsed="false">
      <c r="A26" s="22" t="n">
        <v>22</v>
      </c>
      <c r="B26" s="23"/>
      <c r="C26" s="23"/>
      <c r="D26" s="24"/>
      <c r="E26" s="24"/>
      <c r="F26" s="24"/>
      <c r="G26" s="24"/>
      <c r="H26" s="25" t="str">
        <f aca="false">IF(OR($B26="",$C26="",COUNTIF($D$4:$G$4,$B26)=0),"",IF($B26=H$4,$C26*정산!$C$4*(SUM($N26:$Q26)-N26),-$C26*정산!$C$4*N26))</f>
        <v/>
      </c>
      <c r="I26" s="25" t="str">
        <f aca="false">IF(OR($B26="",$C26="",COUNTIF($D$4:$G$4,$B26)=0),"",IF($B26=I$4,$C26*정산!$C$4*(SUM($N26:$Q26)-O26),-$C26*정산!$C$4*O26))</f>
        <v/>
      </c>
      <c r="J26" s="25" t="str">
        <f aca="false">IF(OR($B26="",$C26="",COUNTIF($D$4:$G$4,$B26)=0),"",IF($B26=J$4,$C26*정산!$C$4*(SUM($N26:$Q26)-P26),-$C26*정산!$C$4*P26))</f>
        <v/>
      </c>
      <c r="K26" s="25" t="str">
        <f aca="false">IF(OR($B26="",$C26="",COUNTIF($D$4:$G$4,$B26)=0),"",IF($B26=K$4,$C26*정산!$C$4*(SUM($N26:$Q26)-Q26),-$C26*정산!$C$4*Q26))</f>
        <v/>
      </c>
      <c r="L26" s="26" t="str">
        <f aca="false">IF(AND($B26="",$C26=""),"",IF($B26="","승자 선택!",IF($C26="","점수 입력!",IF(COUNTIF($D$4:$G$4,$B26)=0,"승자 이름?",IF(COUNTIF(D26:G26,"쉼")&lt;&gt;1,"쉼 1명 표시!",IF(INDEX(D26:G26,MATCH($B26,$D$4:$G$4,0))="쉼","승자가 쉼?","✓"))))))</f>
        <v/>
      </c>
      <c r="M26" s="27"/>
      <c r="N26" s="21" t="n">
        <f aca="false">IF(D26="쉼",0,IF(D26="",1,IFERROR(VALUE(LEFT(D26,1)),1)))</f>
        <v>1</v>
      </c>
      <c r="O26" s="21" t="n">
        <f aca="false">IF(E26="쉼",0,IF(E26="",1,IFERROR(VALUE(LEFT(E26,1)),1)))</f>
        <v>1</v>
      </c>
      <c r="P26" s="21" t="n">
        <f aca="false">IF(F26="쉼",0,IF(F26="",1,IFERROR(VALUE(LEFT(F26,1)),1)))</f>
        <v>1</v>
      </c>
      <c r="Q26" s="21" t="n">
        <f aca="false">IF(G26="쉼",0,IF(G26="",1,IFERROR(VALUE(LEFT(G26,1)),1)))</f>
        <v>1</v>
      </c>
    </row>
    <row r="27" customFormat="false" ht="15" hidden="false" customHeight="false" outlineLevel="0" collapsed="false">
      <c r="A27" s="22" t="n">
        <v>23</v>
      </c>
      <c r="B27" s="23"/>
      <c r="C27" s="23"/>
      <c r="D27" s="24"/>
      <c r="E27" s="24"/>
      <c r="F27" s="24"/>
      <c r="G27" s="24"/>
      <c r="H27" s="25" t="str">
        <f aca="false">IF(OR($B27="",$C27="",COUNTIF($D$4:$G$4,$B27)=0),"",IF($B27=H$4,$C27*정산!$C$4*(SUM($N27:$Q27)-N27),-$C27*정산!$C$4*N27))</f>
        <v/>
      </c>
      <c r="I27" s="25" t="str">
        <f aca="false">IF(OR($B27="",$C27="",COUNTIF($D$4:$G$4,$B27)=0),"",IF($B27=I$4,$C27*정산!$C$4*(SUM($N27:$Q27)-O27),-$C27*정산!$C$4*O27))</f>
        <v/>
      </c>
      <c r="J27" s="25" t="str">
        <f aca="false">IF(OR($B27="",$C27="",COUNTIF($D$4:$G$4,$B27)=0),"",IF($B27=J$4,$C27*정산!$C$4*(SUM($N27:$Q27)-P27),-$C27*정산!$C$4*P27))</f>
        <v/>
      </c>
      <c r="K27" s="25" t="str">
        <f aca="false">IF(OR($B27="",$C27="",COUNTIF($D$4:$G$4,$B27)=0),"",IF($B27=K$4,$C27*정산!$C$4*(SUM($N27:$Q27)-Q27),-$C27*정산!$C$4*Q27))</f>
        <v/>
      </c>
      <c r="L27" s="26" t="str">
        <f aca="false">IF(AND($B27="",$C27=""),"",IF($B27="","승자 선택!",IF($C27="","점수 입력!",IF(COUNTIF($D$4:$G$4,$B27)=0,"승자 이름?",IF(COUNTIF(D27:G27,"쉼")&lt;&gt;1,"쉼 1명 표시!",IF(INDEX(D27:G27,MATCH($B27,$D$4:$G$4,0))="쉼","승자가 쉼?","✓"))))))</f>
        <v/>
      </c>
      <c r="M27" s="27"/>
      <c r="N27" s="21" t="n">
        <f aca="false">IF(D27="쉼",0,IF(D27="",1,IFERROR(VALUE(LEFT(D27,1)),1)))</f>
        <v>1</v>
      </c>
      <c r="O27" s="21" t="n">
        <f aca="false">IF(E27="쉼",0,IF(E27="",1,IFERROR(VALUE(LEFT(E27,1)),1)))</f>
        <v>1</v>
      </c>
      <c r="P27" s="21" t="n">
        <f aca="false">IF(F27="쉼",0,IF(F27="",1,IFERROR(VALUE(LEFT(F27,1)),1)))</f>
        <v>1</v>
      </c>
      <c r="Q27" s="21" t="n">
        <f aca="false">IF(G27="쉼",0,IF(G27="",1,IFERROR(VALUE(LEFT(G27,1)),1)))</f>
        <v>1</v>
      </c>
    </row>
    <row r="28" customFormat="false" ht="15" hidden="false" customHeight="false" outlineLevel="0" collapsed="false">
      <c r="A28" s="22" t="n">
        <v>24</v>
      </c>
      <c r="B28" s="23"/>
      <c r="C28" s="23"/>
      <c r="D28" s="24"/>
      <c r="E28" s="24"/>
      <c r="F28" s="24"/>
      <c r="G28" s="24"/>
      <c r="H28" s="25" t="str">
        <f aca="false">IF(OR($B28="",$C28="",COUNTIF($D$4:$G$4,$B28)=0),"",IF($B28=H$4,$C28*정산!$C$4*(SUM($N28:$Q28)-N28),-$C28*정산!$C$4*N28))</f>
        <v/>
      </c>
      <c r="I28" s="25" t="str">
        <f aca="false">IF(OR($B28="",$C28="",COUNTIF($D$4:$G$4,$B28)=0),"",IF($B28=I$4,$C28*정산!$C$4*(SUM($N28:$Q28)-O28),-$C28*정산!$C$4*O28))</f>
        <v/>
      </c>
      <c r="J28" s="25" t="str">
        <f aca="false">IF(OR($B28="",$C28="",COUNTIF($D$4:$G$4,$B28)=0),"",IF($B28=J$4,$C28*정산!$C$4*(SUM($N28:$Q28)-P28),-$C28*정산!$C$4*P28))</f>
        <v/>
      </c>
      <c r="K28" s="25" t="str">
        <f aca="false">IF(OR($B28="",$C28="",COUNTIF($D$4:$G$4,$B28)=0),"",IF($B28=K$4,$C28*정산!$C$4*(SUM($N28:$Q28)-Q28),-$C28*정산!$C$4*Q28))</f>
        <v/>
      </c>
      <c r="L28" s="26" t="str">
        <f aca="false">IF(AND($B28="",$C28=""),"",IF($B28="","승자 선택!",IF($C28="","점수 입력!",IF(COUNTIF($D$4:$G$4,$B28)=0,"승자 이름?",IF(COUNTIF(D28:G28,"쉼")&lt;&gt;1,"쉼 1명 표시!",IF(INDEX(D28:G28,MATCH($B28,$D$4:$G$4,0))="쉼","승자가 쉼?","✓"))))))</f>
        <v/>
      </c>
      <c r="M28" s="27"/>
      <c r="N28" s="21" t="n">
        <f aca="false">IF(D28="쉼",0,IF(D28="",1,IFERROR(VALUE(LEFT(D28,1)),1)))</f>
        <v>1</v>
      </c>
      <c r="O28" s="21" t="n">
        <f aca="false">IF(E28="쉼",0,IF(E28="",1,IFERROR(VALUE(LEFT(E28,1)),1)))</f>
        <v>1</v>
      </c>
      <c r="P28" s="21" t="n">
        <f aca="false">IF(F28="쉼",0,IF(F28="",1,IFERROR(VALUE(LEFT(F28,1)),1)))</f>
        <v>1</v>
      </c>
      <c r="Q28" s="21" t="n">
        <f aca="false">IF(G28="쉼",0,IF(G28="",1,IFERROR(VALUE(LEFT(G28,1)),1)))</f>
        <v>1</v>
      </c>
    </row>
    <row r="29" customFormat="false" ht="15" hidden="false" customHeight="false" outlineLevel="0" collapsed="false">
      <c r="A29" s="22" t="n">
        <v>25</v>
      </c>
      <c r="B29" s="23"/>
      <c r="C29" s="23"/>
      <c r="D29" s="24"/>
      <c r="E29" s="24"/>
      <c r="F29" s="24"/>
      <c r="G29" s="24"/>
      <c r="H29" s="25" t="str">
        <f aca="false">IF(OR($B29="",$C29="",COUNTIF($D$4:$G$4,$B29)=0),"",IF($B29=H$4,$C29*정산!$C$4*(SUM($N29:$Q29)-N29),-$C29*정산!$C$4*N29))</f>
        <v/>
      </c>
      <c r="I29" s="25" t="str">
        <f aca="false">IF(OR($B29="",$C29="",COUNTIF($D$4:$G$4,$B29)=0),"",IF($B29=I$4,$C29*정산!$C$4*(SUM($N29:$Q29)-O29),-$C29*정산!$C$4*O29))</f>
        <v/>
      </c>
      <c r="J29" s="25" t="str">
        <f aca="false">IF(OR($B29="",$C29="",COUNTIF($D$4:$G$4,$B29)=0),"",IF($B29=J$4,$C29*정산!$C$4*(SUM($N29:$Q29)-P29),-$C29*정산!$C$4*P29))</f>
        <v/>
      </c>
      <c r="K29" s="25" t="str">
        <f aca="false">IF(OR($B29="",$C29="",COUNTIF($D$4:$G$4,$B29)=0),"",IF($B29=K$4,$C29*정산!$C$4*(SUM($N29:$Q29)-Q29),-$C29*정산!$C$4*Q29))</f>
        <v/>
      </c>
      <c r="L29" s="26" t="str">
        <f aca="false">IF(AND($B29="",$C29=""),"",IF($B29="","승자 선택!",IF($C29="","점수 입력!",IF(COUNTIF($D$4:$G$4,$B29)=0,"승자 이름?",IF(COUNTIF(D29:G29,"쉼")&lt;&gt;1,"쉼 1명 표시!",IF(INDEX(D29:G29,MATCH($B29,$D$4:$G$4,0))="쉼","승자가 쉼?","✓"))))))</f>
        <v/>
      </c>
      <c r="M29" s="27"/>
      <c r="N29" s="21" t="n">
        <f aca="false">IF(D29="쉼",0,IF(D29="",1,IFERROR(VALUE(LEFT(D29,1)),1)))</f>
        <v>1</v>
      </c>
      <c r="O29" s="21" t="n">
        <f aca="false">IF(E29="쉼",0,IF(E29="",1,IFERROR(VALUE(LEFT(E29,1)),1)))</f>
        <v>1</v>
      </c>
      <c r="P29" s="21" t="n">
        <f aca="false">IF(F29="쉼",0,IF(F29="",1,IFERROR(VALUE(LEFT(F29,1)),1)))</f>
        <v>1</v>
      </c>
      <c r="Q29" s="21" t="n">
        <f aca="false">IF(G29="쉼",0,IF(G29="",1,IFERROR(VALUE(LEFT(G29,1)),1)))</f>
        <v>1</v>
      </c>
    </row>
    <row r="30" customFormat="false" ht="15" hidden="false" customHeight="false" outlineLevel="0" collapsed="false">
      <c r="A30" s="22" t="n">
        <v>26</v>
      </c>
      <c r="B30" s="23"/>
      <c r="C30" s="23"/>
      <c r="D30" s="24"/>
      <c r="E30" s="24"/>
      <c r="F30" s="24"/>
      <c r="G30" s="24"/>
      <c r="H30" s="25" t="str">
        <f aca="false">IF(OR($B30="",$C30="",COUNTIF($D$4:$G$4,$B30)=0),"",IF($B30=H$4,$C30*정산!$C$4*(SUM($N30:$Q30)-N30),-$C30*정산!$C$4*N30))</f>
        <v/>
      </c>
      <c r="I30" s="25" t="str">
        <f aca="false">IF(OR($B30="",$C30="",COUNTIF($D$4:$G$4,$B30)=0),"",IF($B30=I$4,$C30*정산!$C$4*(SUM($N30:$Q30)-O30),-$C30*정산!$C$4*O30))</f>
        <v/>
      </c>
      <c r="J30" s="25" t="str">
        <f aca="false">IF(OR($B30="",$C30="",COUNTIF($D$4:$G$4,$B30)=0),"",IF($B30=J$4,$C30*정산!$C$4*(SUM($N30:$Q30)-P30),-$C30*정산!$C$4*P30))</f>
        <v/>
      </c>
      <c r="K30" s="25" t="str">
        <f aca="false">IF(OR($B30="",$C30="",COUNTIF($D$4:$G$4,$B30)=0),"",IF($B30=K$4,$C30*정산!$C$4*(SUM($N30:$Q30)-Q30),-$C30*정산!$C$4*Q30))</f>
        <v/>
      </c>
      <c r="L30" s="26" t="str">
        <f aca="false">IF(AND($B30="",$C30=""),"",IF($B30="","승자 선택!",IF($C30="","점수 입력!",IF(COUNTIF($D$4:$G$4,$B30)=0,"승자 이름?",IF(COUNTIF(D30:G30,"쉼")&lt;&gt;1,"쉼 1명 표시!",IF(INDEX(D30:G30,MATCH($B30,$D$4:$G$4,0))="쉼","승자가 쉼?","✓"))))))</f>
        <v/>
      </c>
      <c r="M30" s="27"/>
      <c r="N30" s="21" t="n">
        <f aca="false">IF(D30="쉼",0,IF(D30="",1,IFERROR(VALUE(LEFT(D30,1)),1)))</f>
        <v>1</v>
      </c>
      <c r="O30" s="21" t="n">
        <f aca="false">IF(E30="쉼",0,IF(E30="",1,IFERROR(VALUE(LEFT(E30,1)),1)))</f>
        <v>1</v>
      </c>
      <c r="P30" s="21" t="n">
        <f aca="false">IF(F30="쉼",0,IF(F30="",1,IFERROR(VALUE(LEFT(F30,1)),1)))</f>
        <v>1</v>
      </c>
      <c r="Q30" s="21" t="n">
        <f aca="false">IF(G30="쉼",0,IF(G30="",1,IFERROR(VALUE(LEFT(G30,1)),1)))</f>
        <v>1</v>
      </c>
    </row>
    <row r="31" customFormat="false" ht="15" hidden="false" customHeight="false" outlineLevel="0" collapsed="false">
      <c r="A31" s="22" t="n">
        <v>27</v>
      </c>
      <c r="B31" s="23"/>
      <c r="C31" s="23"/>
      <c r="D31" s="24"/>
      <c r="E31" s="24"/>
      <c r="F31" s="24"/>
      <c r="G31" s="24"/>
      <c r="H31" s="25" t="str">
        <f aca="false">IF(OR($B31="",$C31="",COUNTIF($D$4:$G$4,$B31)=0),"",IF($B31=H$4,$C31*정산!$C$4*(SUM($N31:$Q31)-N31),-$C31*정산!$C$4*N31))</f>
        <v/>
      </c>
      <c r="I31" s="25" t="str">
        <f aca="false">IF(OR($B31="",$C31="",COUNTIF($D$4:$G$4,$B31)=0),"",IF($B31=I$4,$C31*정산!$C$4*(SUM($N31:$Q31)-O31),-$C31*정산!$C$4*O31))</f>
        <v/>
      </c>
      <c r="J31" s="25" t="str">
        <f aca="false">IF(OR($B31="",$C31="",COUNTIF($D$4:$G$4,$B31)=0),"",IF($B31=J$4,$C31*정산!$C$4*(SUM($N31:$Q31)-P31),-$C31*정산!$C$4*P31))</f>
        <v/>
      </c>
      <c r="K31" s="25" t="str">
        <f aca="false">IF(OR($B31="",$C31="",COUNTIF($D$4:$G$4,$B31)=0),"",IF($B31=K$4,$C31*정산!$C$4*(SUM($N31:$Q31)-Q31),-$C31*정산!$C$4*Q31))</f>
        <v/>
      </c>
      <c r="L31" s="26" t="str">
        <f aca="false">IF(AND($B31="",$C31=""),"",IF($B31="","승자 선택!",IF($C31="","점수 입력!",IF(COUNTIF($D$4:$G$4,$B31)=0,"승자 이름?",IF(COUNTIF(D31:G31,"쉼")&lt;&gt;1,"쉼 1명 표시!",IF(INDEX(D31:G31,MATCH($B31,$D$4:$G$4,0))="쉼","승자가 쉼?","✓"))))))</f>
        <v/>
      </c>
      <c r="M31" s="27"/>
      <c r="N31" s="21" t="n">
        <f aca="false">IF(D31="쉼",0,IF(D31="",1,IFERROR(VALUE(LEFT(D31,1)),1)))</f>
        <v>1</v>
      </c>
      <c r="O31" s="21" t="n">
        <f aca="false">IF(E31="쉼",0,IF(E31="",1,IFERROR(VALUE(LEFT(E31,1)),1)))</f>
        <v>1</v>
      </c>
      <c r="P31" s="21" t="n">
        <f aca="false">IF(F31="쉼",0,IF(F31="",1,IFERROR(VALUE(LEFT(F31,1)),1)))</f>
        <v>1</v>
      </c>
      <c r="Q31" s="21" t="n">
        <f aca="false">IF(G31="쉼",0,IF(G31="",1,IFERROR(VALUE(LEFT(G31,1)),1)))</f>
        <v>1</v>
      </c>
    </row>
    <row r="32" customFormat="false" ht="15" hidden="false" customHeight="false" outlineLevel="0" collapsed="false">
      <c r="A32" s="22" t="n">
        <v>28</v>
      </c>
      <c r="B32" s="23"/>
      <c r="C32" s="23"/>
      <c r="D32" s="24"/>
      <c r="E32" s="24"/>
      <c r="F32" s="24"/>
      <c r="G32" s="24"/>
      <c r="H32" s="25" t="str">
        <f aca="false">IF(OR($B32="",$C32="",COUNTIF($D$4:$G$4,$B32)=0),"",IF($B32=H$4,$C32*정산!$C$4*(SUM($N32:$Q32)-N32),-$C32*정산!$C$4*N32))</f>
        <v/>
      </c>
      <c r="I32" s="25" t="str">
        <f aca="false">IF(OR($B32="",$C32="",COUNTIF($D$4:$G$4,$B32)=0),"",IF($B32=I$4,$C32*정산!$C$4*(SUM($N32:$Q32)-O32),-$C32*정산!$C$4*O32))</f>
        <v/>
      </c>
      <c r="J32" s="25" t="str">
        <f aca="false">IF(OR($B32="",$C32="",COUNTIF($D$4:$G$4,$B32)=0),"",IF($B32=J$4,$C32*정산!$C$4*(SUM($N32:$Q32)-P32),-$C32*정산!$C$4*P32))</f>
        <v/>
      </c>
      <c r="K32" s="25" t="str">
        <f aca="false">IF(OR($B32="",$C32="",COUNTIF($D$4:$G$4,$B32)=0),"",IF($B32=K$4,$C32*정산!$C$4*(SUM($N32:$Q32)-Q32),-$C32*정산!$C$4*Q32))</f>
        <v/>
      </c>
      <c r="L32" s="26" t="str">
        <f aca="false">IF(AND($B32="",$C32=""),"",IF($B32="","승자 선택!",IF($C32="","점수 입력!",IF(COUNTIF($D$4:$G$4,$B32)=0,"승자 이름?",IF(COUNTIF(D32:G32,"쉼")&lt;&gt;1,"쉼 1명 표시!",IF(INDEX(D32:G32,MATCH($B32,$D$4:$G$4,0))="쉼","승자가 쉼?","✓"))))))</f>
        <v/>
      </c>
      <c r="M32" s="27"/>
      <c r="N32" s="21" t="n">
        <f aca="false">IF(D32="쉼",0,IF(D32="",1,IFERROR(VALUE(LEFT(D32,1)),1)))</f>
        <v>1</v>
      </c>
      <c r="O32" s="21" t="n">
        <f aca="false">IF(E32="쉼",0,IF(E32="",1,IFERROR(VALUE(LEFT(E32,1)),1)))</f>
        <v>1</v>
      </c>
      <c r="P32" s="21" t="n">
        <f aca="false">IF(F32="쉼",0,IF(F32="",1,IFERROR(VALUE(LEFT(F32,1)),1)))</f>
        <v>1</v>
      </c>
      <c r="Q32" s="21" t="n">
        <f aca="false">IF(G32="쉼",0,IF(G32="",1,IFERROR(VALUE(LEFT(G32,1)),1)))</f>
        <v>1</v>
      </c>
    </row>
    <row r="33" customFormat="false" ht="15" hidden="false" customHeight="false" outlineLevel="0" collapsed="false">
      <c r="A33" s="22" t="n">
        <v>29</v>
      </c>
      <c r="B33" s="23"/>
      <c r="C33" s="23"/>
      <c r="D33" s="24"/>
      <c r="E33" s="24"/>
      <c r="F33" s="24"/>
      <c r="G33" s="24"/>
      <c r="H33" s="25" t="str">
        <f aca="false">IF(OR($B33="",$C33="",COUNTIF($D$4:$G$4,$B33)=0),"",IF($B33=H$4,$C33*정산!$C$4*(SUM($N33:$Q33)-N33),-$C33*정산!$C$4*N33))</f>
        <v/>
      </c>
      <c r="I33" s="25" t="str">
        <f aca="false">IF(OR($B33="",$C33="",COUNTIF($D$4:$G$4,$B33)=0),"",IF($B33=I$4,$C33*정산!$C$4*(SUM($N33:$Q33)-O33),-$C33*정산!$C$4*O33))</f>
        <v/>
      </c>
      <c r="J33" s="25" t="str">
        <f aca="false">IF(OR($B33="",$C33="",COUNTIF($D$4:$G$4,$B33)=0),"",IF($B33=J$4,$C33*정산!$C$4*(SUM($N33:$Q33)-P33),-$C33*정산!$C$4*P33))</f>
        <v/>
      </c>
      <c r="K33" s="25" t="str">
        <f aca="false">IF(OR($B33="",$C33="",COUNTIF($D$4:$G$4,$B33)=0),"",IF($B33=K$4,$C33*정산!$C$4*(SUM($N33:$Q33)-Q33),-$C33*정산!$C$4*Q33))</f>
        <v/>
      </c>
      <c r="L33" s="26" t="str">
        <f aca="false">IF(AND($B33="",$C33=""),"",IF($B33="","승자 선택!",IF($C33="","점수 입력!",IF(COUNTIF($D$4:$G$4,$B33)=0,"승자 이름?",IF(COUNTIF(D33:G33,"쉼")&lt;&gt;1,"쉼 1명 표시!",IF(INDEX(D33:G33,MATCH($B33,$D$4:$G$4,0))="쉼","승자가 쉼?","✓"))))))</f>
        <v/>
      </c>
      <c r="M33" s="27"/>
      <c r="N33" s="21" t="n">
        <f aca="false">IF(D33="쉼",0,IF(D33="",1,IFERROR(VALUE(LEFT(D33,1)),1)))</f>
        <v>1</v>
      </c>
      <c r="O33" s="21" t="n">
        <f aca="false">IF(E33="쉼",0,IF(E33="",1,IFERROR(VALUE(LEFT(E33,1)),1)))</f>
        <v>1</v>
      </c>
      <c r="P33" s="21" t="n">
        <f aca="false">IF(F33="쉼",0,IF(F33="",1,IFERROR(VALUE(LEFT(F33,1)),1)))</f>
        <v>1</v>
      </c>
      <c r="Q33" s="21" t="n">
        <f aca="false">IF(G33="쉼",0,IF(G33="",1,IFERROR(VALUE(LEFT(G33,1)),1)))</f>
        <v>1</v>
      </c>
    </row>
    <row r="34" customFormat="false" ht="15" hidden="false" customHeight="false" outlineLevel="0" collapsed="false">
      <c r="A34" s="22" t="n">
        <v>30</v>
      </c>
      <c r="B34" s="23"/>
      <c r="C34" s="23"/>
      <c r="D34" s="24"/>
      <c r="E34" s="24"/>
      <c r="F34" s="24"/>
      <c r="G34" s="24"/>
      <c r="H34" s="25" t="str">
        <f aca="false">IF(OR($B34="",$C34="",COUNTIF($D$4:$G$4,$B34)=0),"",IF($B34=H$4,$C34*정산!$C$4*(SUM($N34:$Q34)-N34),-$C34*정산!$C$4*N34))</f>
        <v/>
      </c>
      <c r="I34" s="25" t="str">
        <f aca="false">IF(OR($B34="",$C34="",COUNTIF($D$4:$G$4,$B34)=0),"",IF($B34=I$4,$C34*정산!$C$4*(SUM($N34:$Q34)-O34),-$C34*정산!$C$4*O34))</f>
        <v/>
      </c>
      <c r="J34" s="25" t="str">
        <f aca="false">IF(OR($B34="",$C34="",COUNTIF($D$4:$G$4,$B34)=0),"",IF($B34=J$4,$C34*정산!$C$4*(SUM($N34:$Q34)-P34),-$C34*정산!$C$4*P34))</f>
        <v/>
      </c>
      <c r="K34" s="25" t="str">
        <f aca="false">IF(OR($B34="",$C34="",COUNTIF($D$4:$G$4,$B34)=0),"",IF($B34=K$4,$C34*정산!$C$4*(SUM($N34:$Q34)-Q34),-$C34*정산!$C$4*Q34))</f>
        <v/>
      </c>
      <c r="L34" s="26" t="str">
        <f aca="false">IF(AND($B34="",$C34=""),"",IF($B34="","승자 선택!",IF($C34="","점수 입력!",IF(COUNTIF($D$4:$G$4,$B34)=0,"승자 이름?",IF(COUNTIF(D34:G34,"쉼")&lt;&gt;1,"쉼 1명 표시!",IF(INDEX(D34:G34,MATCH($B34,$D$4:$G$4,0))="쉼","승자가 쉼?","✓"))))))</f>
        <v/>
      </c>
      <c r="M34" s="27"/>
      <c r="N34" s="21" t="n">
        <f aca="false">IF(D34="쉼",0,IF(D34="",1,IFERROR(VALUE(LEFT(D34,1)),1)))</f>
        <v>1</v>
      </c>
      <c r="O34" s="21" t="n">
        <f aca="false">IF(E34="쉼",0,IF(E34="",1,IFERROR(VALUE(LEFT(E34,1)),1)))</f>
        <v>1</v>
      </c>
      <c r="P34" s="21" t="n">
        <f aca="false">IF(F34="쉼",0,IF(F34="",1,IFERROR(VALUE(LEFT(F34,1)),1)))</f>
        <v>1</v>
      </c>
      <c r="Q34" s="21" t="n">
        <f aca="false">IF(G34="쉼",0,IF(G34="",1,IFERROR(VALUE(LEFT(G34,1)),1)))</f>
        <v>1</v>
      </c>
    </row>
    <row r="35" customFormat="false" ht="15" hidden="false" customHeight="false" outlineLevel="0" collapsed="false">
      <c r="A35" s="22" t="n">
        <v>31</v>
      </c>
      <c r="B35" s="23"/>
      <c r="C35" s="23"/>
      <c r="D35" s="24"/>
      <c r="E35" s="24"/>
      <c r="F35" s="24"/>
      <c r="G35" s="24"/>
      <c r="H35" s="25" t="str">
        <f aca="false">IF(OR($B35="",$C35="",COUNTIF($D$4:$G$4,$B35)=0),"",IF($B35=H$4,$C35*정산!$C$4*(SUM($N35:$Q35)-N35),-$C35*정산!$C$4*N35))</f>
        <v/>
      </c>
      <c r="I35" s="25" t="str">
        <f aca="false">IF(OR($B35="",$C35="",COUNTIF($D$4:$G$4,$B35)=0),"",IF($B35=I$4,$C35*정산!$C$4*(SUM($N35:$Q35)-O35),-$C35*정산!$C$4*O35))</f>
        <v/>
      </c>
      <c r="J35" s="25" t="str">
        <f aca="false">IF(OR($B35="",$C35="",COUNTIF($D$4:$G$4,$B35)=0),"",IF($B35=J$4,$C35*정산!$C$4*(SUM($N35:$Q35)-P35),-$C35*정산!$C$4*P35))</f>
        <v/>
      </c>
      <c r="K35" s="25" t="str">
        <f aca="false">IF(OR($B35="",$C35="",COUNTIF($D$4:$G$4,$B35)=0),"",IF($B35=K$4,$C35*정산!$C$4*(SUM($N35:$Q35)-Q35),-$C35*정산!$C$4*Q35))</f>
        <v/>
      </c>
      <c r="L35" s="26" t="str">
        <f aca="false">IF(AND($B35="",$C35=""),"",IF($B35="","승자 선택!",IF($C35="","점수 입력!",IF(COUNTIF($D$4:$G$4,$B35)=0,"승자 이름?",IF(COUNTIF(D35:G35,"쉼")&lt;&gt;1,"쉼 1명 표시!",IF(INDEX(D35:G35,MATCH($B35,$D$4:$G$4,0))="쉼","승자가 쉼?","✓"))))))</f>
        <v/>
      </c>
      <c r="M35" s="27"/>
      <c r="N35" s="21" t="n">
        <f aca="false">IF(D35="쉼",0,IF(D35="",1,IFERROR(VALUE(LEFT(D35,1)),1)))</f>
        <v>1</v>
      </c>
      <c r="O35" s="21" t="n">
        <f aca="false">IF(E35="쉼",0,IF(E35="",1,IFERROR(VALUE(LEFT(E35,1)),1)))</f>
        <v>1</v>
      </c>
      <c r="P35" s="21" t="n">
        <f aca="false">IF(F35="쉼",0,IF(F35="",1,IFERROR(VALUE(LEFT(F35,1)),1)))</f>
        <v>1</v>
      </c>
      <c r="Q35" s="21" t="n">
        <f aca="false">IF(G35="쉼",0,IF(G35="",1,IFERROR(VALUE(LEFT(G35,1)),1)))</f>
        <v>1</v>
      </c>
    </row>
    <row r="36" customFormat="false" ht="15" hidden="false" customHeight="false" outlineLevel="0" collapsed="false">
      <c r="A36" s="22" t="n">
        <v>32</v>
      </c>
      <c r="B36" s="23"/>
      <c r="C36" s="23"/>
      <c r="D36" s="24"/>
      <c r="E36" s="24"/>
      <c r="F36" s="24"/>
      <c r="G36" s="24"/>
      <c r="H36" s="25" t="str">
        <f aca="false">IF(OR($B36="",$C36="",COUNTIF($D$4:$G$4,$B36)=0),"",IF($B36=H$4,$C36*정산!$C$4*(SUM($N36:$Q36)-N36),-$C36*정산!$C$4*N36))</f>
        <v/>
      </c>
      <c r="I36" s="25" t="str">
        <f aca="false">IF(OR($B36="",$C36="",COUNTIF($D$4:$G$4,$B36)=0),"",IF($B36=I$4,$C36*정산!$C$4*(SUM($N36:$Q36)-O36),-$C36*정산!$C$4*O36))</f>
        <v/>
      </c>
      <c r="J36" s="25" t="str">
        <f aca="false">IF(OR($B36="",$C36="",COUNTIF($D$4:$G$4,$B36)=0),"",IF($B36=J$4,$C36*정산!$C$4*(SUM($N36:$Q36)-P36),-$C36*정산!$C$4*P36))</f>
        <v/>
      </c>
      <c r="K36" s="25" t="str">
        <f aca="false">IF(OR($B36="",$C36="",COUNTIF($D$4:$G$4,$B36)=0),"",IF($B36=K$4,$C36*정산!$C$4*(SUM($N36:$Q36)-Q36),-$C36*정산!$C$4*Q36))</f>
        <v/>
      </c>
      <c r="L36" s="26" t="str">
        <f aca="false">IF(AND($B36="",$C36=""),"",IF($B36="","승자 선택!",IF($C36="","점수 입력!",IF(COUNTIF($D$4:$G$4,$B36)=0,"승자 이름?",IF(COUNTIF(D36:G36,"쉼")&lt;&gt;1,"쉼 1명 표시!",IF(INDEX(D36:G36,MATCH($B36,$D$4:$G$4,0))="쉼","승자가 쉼?","✓"))))))</f>
        <v/>
      </c>
      <c r="M36" s="27"/>
      <c r="N36" s="21" t="n">
        <f aca="false">IF(D36="쉼",0,IF(D36="",1,IFERROR(VALUE(LEFT(D36,1)),1)))</f>
        <v>1</v>
      </c>
      <c r="O36" s="21" t="n">
        <f aca="false">IF(E36="쉼",0,IF(E36="",1,IFERROR(VALUE(LEFT(E36,1)),1)))</f>
        <v>1</v>
      </c>
      <c r="P36" s="21" t="n">
        <f aca="false">IF(F36="쉼",0,IF(F36="",1,IFERROR(VALUE(LEFT(F36,1)),1)))</f>
        <v>1</v>
      </c>
      <c r="Q36" s="21" t="n">
        <f aca="false">IF(G36="쉼",0,IF(G36="",1,IFERROR(VALUE(LEFT(G36,1)),1)))</f>
        <v>1</v>
      </c>
    </row>
    <row r="37" customFormat="false" ht="15" hidden="false" customHeight="false" outlineLevel="0" collapsed="false">
      <c r="A37" s="22" t="n">
        <v>33</v>
      </c>
      <c r="B37" s="23"/>
      <c r="C37" s="23"/>
      <c r="D37" s="24"/>
      <c r="E37" s="24"/>
      <c r="F37" s="24"/>
      <c r="G37" s="24"/>
      <c r="H37" s="25" t="str">
        <f aca="false">IF(OR($B37="",$C37="",COUNTIF($D$4:$G$4,$B37)=0),"",IF($B37=H$4,$C37*정산!$C$4*(SUM($N37:$Q37)-N37),-$C37*정산!$C$4*N37))</f>
        <v/>
      </c>
      <c r="I37" s="25" t="str">
        <f aca="false">IF(OR($B37="",$C37="",COUNTIF($D$4:$G$4,$B37)=0),"",IF($B37=I$4,$C37*정산!$C$4*(SUM($N37:$Q37)-O37),-$C37*정산!$C$4*O37))</f>
        <v/>
      </c>
      <c r="J37" s="25" t="str">
        <f aca="false">IF(OR($B37="",$C37="",COUNTIF($D$4:$G$4,$B37)=0),"",IF($B37=J$4,$C37*정산!$C$4*(SUM($N37:$Q37)-P37),-$C37*정산!$C$4*P37))</f>
        <v/>
      </c>
      <c r="K37" s="25" t="str">
        <f aca="false">IF(OR($B37="",$C37="",COUNTIF($D$4:$G$4,$B37)=0),"",IF($B37=K$4,$C37*정산!$C$4*(SUM($N37:$Q37)-Q37),-$C37*정산!$C$4*Q37))</f>
        <v/>
      </c>
      <c r="L37" s="26" t="str">
        <f aca="false">IF(AND($B37="",$C37=""),"",IF($B37="","승자 선택!",IF($C37="","점수 입력!",IF(COUNTIF($D$4:$G$4,$B37)=0,"승자 이름?",IF(COUNTIF(D37:G37,"쉼")&lt;&gt;1,"쉼 1명 표시!",IF(INDEX(D37:G37,MATCH($B37,$D$4:$G$4,0))="쉼","승자가 쉼?","✓"))))))</f>
        <v/>
      </c>
      <c r="M37" s="27"/>
      <c r="N37" s="21" t="n">
        <f aca="false">IF(D37="쉼",0,IF(D37="",1,IFERROR(VALUE(LEFT(D37,1)),1)))</f>
        <v>1</v>
      </c>
      <c r="O37" s="21" t="n">
        <f aca="false">IF(E37="쉼",0,IF(E37="",1,IFERROR(VALUE(LEFT(E37,1)),1)))</f>
        <v>1</v>
      </c>
      <c r="P37" s="21" t="n">
        <f aca="false">IF(F37="쉼",0,IF(F37="",1,IFERROR(VALUE(LEFT(F37,1)),1)))</f>
        <v>1</v>
      </c>
      <c r="Q37" s="21" t="n">
        <f aca="false">IF(G37="쉼",0,IF(G37="",1,IFERROR(VALUE(LEFT(G37,1)),1)))</f>
        <v>1</v>
      </c>
    </row>
    <row r="38" customFormat="false" ht="15" hidden="false" customHeight="false" outlineLevel="0" collapsed="false">
      <c r="A38" s="22" t="n">
        <v>34</v>
      </c>
      <c r="B38" s="23"/>
      <c r="C38" s="23"/>
      <c r="D38" s="24"/>
      <c r="E38" s="24"/>
      <c r="F38" s="24"/>
      <c r="G38" s="24"/>
      <c r="H38" s="25" t="str">
        <f aca="false">IF(OR($B38="",$C38="",COUNTIF($D$4:$G$4,$B38)=0),"",IF($B38=H$4,$C38*정산!$C$4*(SUM($N38:$Q38)-N38),-$C38*정산!$C$4*N38))</f>
        <v/>
      </c>
      <c r="I38" s="25" t="str">
        <f aca="false">IF(OR($B38="",$C38="",COUNTIF($D$4:$G$4,$B38)=0),"",IF($B38=I$4,$C38*정산!$C$4*(SUM($N38:$Q38)-O38),-$C38*정산!$C$4*O38))</f>
        <v/>
      </c>
      <c r="J38" s="25" t="str">
        <f aca="false">IF(OR($B38="",$C38="",COUNTIF($D$4:$G$4,$B38)=0),"",IF($B38=J$4,$C38*정산!$C$4*(SUM($N38:$Q38)-P38),-$C38*정산!$C$4*P38))</f>
        <v/>
      </c>
      <c r="K38" s="25" t="str">
        <f aca="false">IF(OR($B38="",$C38="",COUNTIF($D$4:$G$4,$B38)=0),"",IF($B38=K$4,$C38*정산!$C$4*(SUM($N38:$Q38)-Q38),-$C38*정산!$C$4*Q38))</f>
        <v/>
      </c>
      <c r="L38" s="26" t="str">
        <f aca="false">IF(AND($B38="",$C38=""),"",IF($B38="","승자 선택!",IF($C38="","점수 입력!",IF(COUNTIF($D$4:$G$4,$B38)=0,"승자 이름?",IF(COUNTIF(D38:G38,"쉼")&lt;&gt;1,"쉼 1명 표시!",IF(INDEX(D38:G38,MATCH($B38,$D$4:$G$4,0))="쉼","승자가 쉼?","✓"))))))</f>
        <v/>
      </c>
      <c r="M38" s="27"/>
      <c r="N38" s="21" t="n">
        <f aca="false">IF(D38="쉼",0,IF(D38="",1,IFERROR(VALUE(LEFT(D38,1)),1)))</f>
        <v>1</v>
      </c>
      <c r="O38" s="21" t="n">
        <f aca="false">IF(E38="쉼",0,IF(E38="",1,IFERROR(VALUE(LEFT(E38,1)),1)))</f>
        <v>1</v>
      </c>
      <c r="P38" s="21" t="n">
        <f aca="false">IF(F38="쉼",0,IF(F38="",1,IFERROR(VALUE(LEFT(F38,1)),1)))</f>
        <v>1</v>
      </c>
      <c r="Q38" s="21" t="n">
        <f aca="false">IF(G38="쉼",0,IF(G38="",1,IFERROR(VALUE(LEFT(G38,1)),1)))</f>
        <v>1</v>
      </c>
    </row>
    <row r="39" customFormat="false" ht="15" hidden="false" customHeight="false" outlineLevel="0" collapsed="false">
      <c r="A39" s="22" t="n">
        <v>35</v>
      </c>
      <c r="B39" s="23"/>
      <c r="C39" s="23"/>
      <c r="D39" s="24"/>
      <c r="E39" s="24"/>
      <c r="F39" s="24"/>
      <c r="G39" s="24"/>
      <c r="H39" s="25" t="str">
        <f aca="false">IF(OR($B39="",$C39="",COUNTIF($D$4:$G$4,$B39)=0),"",IF($B39=H$4,$C39*정산!$C$4*(SUM($N39:$Q39)-N39),-$C39*정산!$C$4*N39))</f>
        <v/>
      </c>
      <c r="I39" s="25" t="str">
        <f aca="false">IF(OR($B39="",$C39="",COUNTIF($D$4:$G$4,$B39)=0),"",IF($B39=I$4,$C39*정산!$C$4*(SUM($N39:$Q39)-O39),-$C39*정산!$C$4*O39))</f>
        <v/>
      </c>
      <c r="J39" s="25" t="str">
        <f aca="false">IF(OR($B39="",$C39="",COUNTIF($D$4:$G$4,$B39)=0),"",IF($B39=J$4,$C39*정산!$C$4*(SUM($N39:$Q39)-P39),-$C39*정산!$C$4*P39))</f>
        <v/>
      </c>
      <c r="K39" s="25" t="str">
        <f aca="false">IF(OR($B39="",$C39="",COUNTIF($D$4:$G$4,$B39)=0),"",IF($B39=K$4,$C39*정산!$C$4*(SUM($N39:$Q39)-Q39),-$C39*정산!$C$4*Q39))</f>
        <v/>
      </c>
      <c r="L39" s="26" t="str">
        <f aca="false">IF(AND($B39="",$C39=""),"",IF($B39="","승자 선택!",IF($C39="","점수 입력!",IF(COUNTIF($D$4:$G$4,$B39)=0,"승자 이름?",IF(COUNTIF(D39:G39,"쉼")&lt;&gt;1,"쉼 1명 표시!",IF(INDEX(D39:G39,MATCH($B39,$D$4:$G$4,0))="쉼","승자가 쉼?","✓"))))))</f>
        <v/>
      </c>
      <c r="M39" s="27"/>
      <c r="N39" s="21" t="n">
        <f aca="false">IF(D39="쉼",0,IF(D39="",1,IFERROR(VALUE(LEFT(D39,1)),1)))</f>
        <v>1</v>
      </c>
      <c r="O39" s="21" t="n">
        <f aca="false">IF(E39="쉼",0,IF(E39="",1,IFERROR(VALUE(LEFT(E39,1)),1)))</f>
        <v>1</v>
      </c>
      <c r="P39" s="21" t="n">
        <f aca="false">IF(F39="쉼",0,IF(F39="",1,IFERROR(VALUE(LEFT(F39,1)),1)))</f>
        <v>1</v>
      </c>
      <c r="Q39" s="21" t="n">
        <f aca="false">IF(G39="쉼",0,IF(G39="",1,IFERROR(VALUE(LEFT(G39,1)),1)))</f>
        <v>1</v>
      </c>
    </row>
    <row r="40" customFormat="false" ht="15" hidden="false" customHeight="false" outlineLevel="0" collapsed="false">
      <c r="A40" s="22" t="n">
        <v>36</v>
      </c>
      <c r="B40" s="23"/>
      <c r="C40" s="23"/>
      <c r="D40" s="24"/>
      <c r="E40" s="24"/>
      <c r="F40" s="24"/>
      <c r="G40" s="24"/>
      <c r="H40" s="25" t="str">
        <f aca="false">IF(OR($B40="",$C40="",COUNTIF($D$4:$G$4,$B40)=0),"",IF($B40=H$4,$C40*정산!$C$4*(SUM($N40:$Q40)-N40),-$C40*정산!$C$4*N40))</f>
        <v/>
      </c>
      <c r="I40" s="25" t="str">
        <f aca="false">IF(OR($B40="",$C40="",COUNTIF($D$4:$G$4,$B40)=0),"",IF($B40=I$4,$C40*정산!$C$4*(SUM($N40:$Q40)-O40),-$C40*정산!$C$4*O40))</f>
        <v/>
      </c>
      <c r="J40" s="25" t="str">
        <f aca="false">IF(OR($B40="",$C40="",COUNTIF($D$4:$G$4,$B40)=0),"",IF($B40=J$4,$C40*정산!$C$4*(SUM($N40:$Q40)-P40),-$C40*정산!$C$4*P40))</f>
        <v/>
      </c>
      <c r="K40" s="25" t="str">
        <f aca="false">IF(OR($B40="",$C40="",COUNTIF($D$4:$G$4,$B40)=0),"",IF($B40=K$4,$C40*정산!$C$4*(SUM($N40:$Q40)-Q40),-$C40*정산!$C$4*Q40))</f>
        <v/>
      </c>
      <c r="L40" s="26" t="str">
        <f aca="false">IF(AND($B40="",$C40=""),"",IF($B40="","승자 선택!",IF($C40="","점수 입력!",IF(COUNTIF($D$4:$G$4,$B40)=0,"승자 이름?",IF(COUNTIF(D40:G40,"쉼")&lt;&gt;1,"쉼 1명 표시!",IF(INDEX(D40:G40,MATCH($B40,$D$4:$G$4,0))="쉼","승자가 쉼?","✓"))))))</f>
        <v/>
      </c>
      <c r="M40" s="27"/>
      <c r="N40" s="21" t="n">
        <f aca="false">IF(D40="쉼",0,IF(D40="",1,IFERROR(VALUE(LEFT(D40,1)),1)))</f>
        <v>1</v>
      </c>
      <c r="O40" s="21" t="n">
        <f aca="false">IF(E40="쉼",0,IF(E40="",1,IFERROR(VALUE(LEFT(E40,1)),1)))</f>
        <v>1</v>
      </c>
      <c r="P40" s="21" t="n">
        <f aca="false">IF(F40="쉼",0,IF(F40="",1,IFERROR(VALUE(LEFT(F40,1)),1)))</f>
        <v>1</v>
      </c>
      <c r="Q40" s="21" t="n">
        <f aca="false">IF(G40="쉼",0,IF(G40="",1,IFERROR(VALUE(LEFT(G40,1)),1)))</f>
        <v>1</v>
      </c>
    </row>
    <row r="41" customFormat="false" ht="15" hidden="false" customHeight="false" outlineLevel="0" collapsed="false">
      <c r="A41" s="22" t="n">
        <v>37</v>
      </c>
      <c r="B41" s="23"/>
      <c r="C41" s="23"/>
      <c r="D41" s="24"/>
      <c r="E41" s="24"/>
      <c r="F41" s="24"/>
      <c r="G41" s="24"/>
      <c r="H41" s="25" t="str">
        <f aca="false">IF(OR($B41="",$C41="",COUNTIF($D$4:$G$4,$B41)=0),"",IF($B41=H$4,$C41*정산!$C$4*(SUM($N41:$Q41)-N41),-$C41*정산!$C$4*N41))</f>
        <v/>
      </c>
      <c r="I41" s="25" t="str">
        <f aca="false">IF(OR($B41="",$C41="",COUNTIF($D$4:$G$4,$B41)=0),"",IF($B41=I$4,$C41*정산!$C$4*(SUM($N41:$Q41)-O41),-$C41*정산!$C$4*O41))</f>
        <v/>
      </c>
      <c r="J41" s="25" t="str">
        <f aca="false">IF(OR($B41="",$C41="",COUNTIF($D$4:$G$4,$B41)=0),"",IF($B41=J$4,$C41*정산!$C$4*(SUM($N41:$Q41)-P41),-$C41*정산!$C$4*P41))</f>
        <v/>
      </c>
      <c r="K41" s="25" t="str">
        <f aca="false">IF(OR($B41="",$C41="",COUNTIF($D$4:$G$4,$B41)=0),"",IF($B41=K$4,$C41*정산!$C$4*(SUM($N41:$Q41)-Q41),-$C41*정산!$C$4*Q41))</f>
        <v/>
      </c>
      <c r="L41" s="26" t="str">
        <f aca="false">IF(AND($B41="",$C41=""),"",IF($B41="","승자 선택!",IF($C41="","점수 입력!",IF(COUNTIF($D$4:$G$4,$B41)=0,"승자 이름?",IF(COUNTIF(D41:G41,"쉼")&lt;&gt;1,"쉼 1명 표시!",IF(INDEX(D41:G41,MATCH($B41,$D$4:$G$4,0))="쉼","승자가 쉼?","✓"))))))</f>
        <v/>
      </c>
      <c r="M41" s="27"/>
      <c r="N41" s="21" t="n">
        <f aca="false">IF(D41="쉼",0,IF(D41="",1,IFERROR(VALUE(LEFT(D41,1)),1)))</f>
        <v>1</v>
      </c>
      <c r="O41" s="21" t="n">
        <f aca="false">IF(E41="쉼",0,IF(E41="",1,IFERROR(VALUE(LEFT(E41,1)),1)))</f>
        <v>1</v>
      </c>
      <c r="P41" s="21" t="n">
        <f aca="false">IF(F41="쉼",0,IF(F41="",1,IFERROR(VALUE(LEFT(F41,1)),1)))</f>
        <v>1</v>
      </c>
      <c r="Q41" s="21" t="n">
        <f aca="false">IF(G41="쉼",0,IF(G41="",1,IFERROR(VALUE(LEFT(G41,1)),1)))</f>
        <v>1</v>
      </c>
    </row>
    <row r="42" customFormat="false" ht="15" hidden="false" customHeight="false" outlineLevel="0" collapsed="false">
      <c r="A42" s="22" t="n">
        <v>38</v>
      </c>
      <c r="B42" s="23"/>
      <c r="C42" s="23"/>
      <c r="D42" s="24"/>
      <c r="E42" s="24"/>
      <c r="F42" s="24"/>
      <c r="G42" s="24"/>
      <c r="H42" s="25" t="str">
        <f aca="false">IF(OR($B42="",$C42="",COUNTIF($D$4:$G$4,$B42)=0),"",IF($B42=H$4,$C42*정산!$C$4*(SUM($N42:$Q42)-N42),-$C42*정산!$C$4*N42))</f>
        <v/>
      </c>
      <c r="I42" s="25" t="str">
        <f aca="false">IF(OR($B42="",$C42="",COUNTIF($D$4:$G$4,$B42)=0),"",IF($B42=I$4,$C42*정산!$C$4*(SUM($N42:$Q42)-O42),-$C42*정산!$C$4*O42))</f>
        <v/>
      </c>
      <c r="J42" s="25" t="str">
        <f aca="false">IF(OR($B42="",$C42="",COUNTIF($D$4:$G$4,$B42)=0),"",IF($B42=J$4,$C42*정산!$C$4*(SUM($N42:$Q42)-P42),-$C42*정산!$C$4*P42))</f>
        <v/>
      </c>
      <c r="K42" s="25" t="str">
        <f aca="false">IF(OR($B42="",$C42="",COUNTIF($D$4:$G$4,$B42)=0),"",IF($B42=K$4,$C42*정산!$C$4*(SUM($N42:$Q42)-Q42),-$C42*정산!$C$4*Q42))</f>
        <v/>
      </c>
      <c r="L42" s="26" t="str">
        <f aca="false">IF(AND($B42="",$C42=""),"",IF($B42="","승자 선택!",IF($C42="","점수 입력!",IF(COUNTIF($D$4:$G$4,$B42)=0,"승자 이름?",IF(COUNTIF(D42:G42,"쉼")&lt;&gt;1,"쉼 1명 표시!",IF(INDEX(D42:G42,MATCH($B42,$D$4:$G$4,0))="쉼","승자가 쉼?","✓"))))))</f>
        <v/>
      </c>
      <c r="M42" s="27"/>
      <c r="N42" s="21" t="n">
        <f aca="false">IF(D42="쉼",0,IF(D42="",1,IFERROR(VALUE(LEFT(D42,1)),1)))</f>
        <v>1</v>
      </c>
      <c r="O42" s="21" t="n">
        <f aca="false">IF(E42="쉼",0,IF(E42="",1,IFERROR(VALUE(LEFT(E42,1)),1)))</f>
        <v>1</v>
      </c>
      <c r="P42" s="21" t="n">
        <f aca="false">IF(F42="쉼",0,IF(F42="",1,IFERROR(VALUE(LEFT(F42,1)),1)))</f>
        <v>1</v>
      </c>
      <c r="Q42" s="21" t="n">
        <f aca="false">IF(G42="쉼",0,IF(G42="",1,IFERROR(VALUE(LEFT(G42,1)),1)))</f>
        <v>1</v>
      </c>
    </row>
    <row r="43" customFormat="false" ht="15" hidden="false" customHeight="false" outlineLevel="0" collapsed="false">
      <c r="A43" s="22" t="n">
        <v>39</v>
      </c>
      <c r="B43" s="23"/>
      <c r="C43" s="23"/>
      <c r="D43" s="24"/>
      <c r="E43" s="24"/>
      <c r="F43" s="24"/>
      <c r="G43" s="24"/>
      <c r="H43" s="25" t="str">
        <f aca="false">IF(OR($B43="",$C43="",COUNTIF($D$4:$G$4,$B43)=0),"",IF($B43=H$4,$C43*정산!$C$4*(SUM($N43:$Q43)-N43),-$C43*정산!$C$4*N43))</f>
        <v/>
      </c>
      <c r="I43" s="25" t="str">
        <f aca="false">IF(OR($B43="",$C43="",COUNTIF($D$4:$G$4,$B43)=0),"",IF($B43=I$4,$C43*정산!$C$4*(SUM($N43:$Q43)-O43),-$C43*정산!$C$4*O43))</f>
        <v/>
      </c>
      <c r="J43" s="25" t="str">
        <f aca="false">IF(OR($B43="",$C43="",COUNTIF($D$4:$G$4,$B43)=0),"",IF($B43=J$4,$C43*정산!$C$4*(SUM($N43:$Q43)-P43),-$C43*정산!$C$4*P43))</f>
        <v/>
      </c>
      <c r="K43" s="25" t="str">
        <f aca="false">IF(OR($B43="",$C43="",COUNTIF($D$4:$G$4,$B43)=0),"",IF($B43=K$4,$C43*정산!$C$4*(SUM($N43:$Q43)-Q43),-$C43*정산!$C$4*Q43))</f>
        <v/>
      </c>
      <c r="L43" s="26" t="str">
        <f aca="false">IF(AND($B43="",$C43=""),"",IF($B43="","승자 선택!",IF($C43="","점수 입력!",IF(COUNTIF($D$4:$G$4,$B43)=0,"승자 이름?",IF(COUNTIF(D43:G43,"쉼")&lt;&gt;1,"쉼 1명 표시!",IF(INDEX(D43:G43,MATCH($B43,$D$4:$G$4,0))="쉼","승자가 쉼?","✓"))))))</f>
        <v/>
      </c>
      <c r="M43" s="27"/>
      <c r="N43" s="21" t="n">
        <f aca="false">IF(D43="쉼",0,IF(D43="",1,IFERROR(VALUE(LEFT(D43,1)),1)))</f>
        <v>1</v>
      </c>
      <c r="O43" s="21" t="n">
        <f aca="false">IF(E43="쉼",0,IF(E43="",1,IFERROR(VALUE(LEFT(E43,1)),1)))</f>
        <v>1</v>
      </c>
      <c r="P43" s="21" t="n">
        <f aca="false">IF(F43="쉼",0,IF(F43="",1,IFERROR(VALUE(LEFT(F43,1)),1)))</f>
        <v>1</v>
      </c>
      <c r="Q43" s="21" t="n">
        <f aca="false">IF(G43="쉼",0,IF(G43="",1,IFERROR(VALUE(LEFT(G43,1)),1)))</f>
        <v>1</v>
      </c>
    </row>
    <row r="44" customFormat="false" ht="15" hidden="false" customHeight="false" outlineLevel="0" collapsed="false">
      <c r="A44" s="22" t="n">
        <v>40</v>
      </c>
      <c r="B44" s="23"/>
      <c r="C44" s="23"/>
      <c r="D44" s="24"/>
      <c r="E44" s="24"/>
      <c r="F44" s="24"/>
      <c r="G44" s="24"/>
      <c r="H44" s="25" t="str">
        <f aca="false">IF(OR($B44="",$C44="",COUNTIF($D$4:$G$4,$B44)=0),"",IF($B44=H$4,$C44*정산!$C$4*(SUM($N44:$Q44)-N44),-$C44*정산!$C$4*N44))</f>
        <v/>
      </c>
      <c r="I44" s="25" t="str">
        <f aca="false">IF(OR($B44="",$C44="",COUNTIF($D$4:$G$4,$B44)=0),"",IF($B44=I$4,$C44*정산!$C$4*(SUM($N44:$Q44)-O44),-$C44*정산!$C$4*O44))</f>
        <v/>
      </c>
      <c r="J44" s="25" t="str">
        <f aca="false">IF(OR($B44="",$C44="",COUNTIF($D$4:$G$4,$B44)=0),"",IF($B44=J$4,$C44*정산!$C$4*(SUM($N44:$Q44)-P44),-$C44*정산!$C$4*P44))</f>
        <v/>
      </c>
      <c r="K44" s="25" t="str">
        <f aca="false">IF(OR($B44="",$C44="",COUNTIF($D$4:$G$4,$B44)=0),"",IF($B44=K$4,$C44*정산!$C$4*(SUM($N44:$Q44)-Q44),-$C44*정산!$C$4*Q44))</f>
        <v/>
      </c>
      <c r="L44" s="26" t="str">
        <f aca="false">IF(AND($B44="",$C44=""),"",IF($B44="","승자 선택!",IF($C44="","점수 입력!",IF(COUNTIF($D$4:$G$4,$B44)=0,"승자 이름?",IF(COUNTIF(D44:G44,"쉼")&lt;&gt;1,"쉼 1명 표시!",IF(INDEX(D44:G44,MATCH($B44,$D$4:$G$4,0))="쉼","승자가 쉼?","✓"))))))</f>
        <v/>
      </c>
      <c r="M44" s="27"/>
      <c r="N44" s="21" t="n">
        <f aca="false">IF(D44="쉼",0,IF(D44="",1,IFERROR(VALUE(LEFT(D44,1)),1)))</f>
        <v>1</v>
      </c>
      <c r="O44" s="21" t="n">
        <f aca="false">IF(E44="쉼",0,IF(E44="",1,IFERROR(VALUE(LEFT(E44,1)),1)))</f>
        <v>1</v>
      </c>
      <c r="P44" s="21" t="n">
        <f aca="false">IF(F44="쉼",0,IF(F44="",1,IFERROR(VALUE(LEFT(F44,1)),1)))</f>
        <v>1</v>
      </c>
      <c r="Q44" s="21" t="n">
        <f aca="false">IF(G44="쉼",0,IF(G44="",1,IFERROR(VALUE(LEFT(G44,1)),1)))</f>
        <v>1</v>
      </c>
    </row>
    <row r="45" customFormat="false" ht="15" hidden="false" customHeight="false" outlineLevel="0" collapsed="false">
      <c r="A45" s="22" t="n">
        <v>41</v>
      </c>
      <c r="B45" s="23"/>
      <c r="C45" s="23"/>
      <c r="D45" s="24"/>
      <c r="E45" s="24"/>
      <c r="F45" s="24"/>
      <c r="G45" s="24"/>
      <c r="H45" s="25" t="str">
        <f aca="false">IF(OR($B45="",$C45="",COUNTIF($D$4:$G$4,$B45)=0),"",IF($B45=H$4,$C45*정산!$C$4*(SUM($N45:$Q45)-N45),-$C45*정산!$C$4*N45))</f>
        <v/>
      </c>
      <c r="I45" s="25" t="str">
        <f aca="false">IF(OR($B45="",$C45="",COUNTIF($D$4:$G$4,$B45)=0),"",IF($B45=I$4,$C45*정산!$C$4*(SUM($N45:$Q45)-O45),-$C45*정산!$C$4*O45))</f>
        <v/>
      </c>
      <c r="J45" s="25" t="str">
        <f aca="false">IF(OR($B45="",$C45="",COUNTIF($D$4:$G$4,$B45)=0),"",IF($B45=J$4,$C45*정산!$C$4*(SUM($N45:$Q45)-P45),-$C45*정산!$C$4*P45))</f>
        <v/>
      </c>
      <c r="K45" s="25" t="str">
        <f aca="false">IF(OR($B45="",$C45="",COUNTIF($D$4:$G$4,$B45)=0),"",IF($B45=K$4,$C45*정산!$C$4*(SUM($N45:$Q45)-Q45),-$C45*정산!$C$4*Q45))</f>
        <v/>
      </c>
      <c r="L45" s="26" t="str">
        <f aca="false">IF(AND($B45="",$C45=""),"",IF($B45="","승자 선택!",IF($C45="","점수 입력!",IF(COUNTIF($D$4:$G$4,$B45)=0,"승자 이름?",IF(COUNTIF(D45:G45,"쉼")&lt;&gt;1,"쉼 1명 표시!",IF(INDEX(D45:G45,MATCH($B45,$D$4:$G$4,0))="쉼","승자가 쉼?","✓"))))))</f>
        <v/>
      </c>
      <c r="M45" s="27"/>
      <c r="N45" s="21" t="n">
        <f aca="false">IF(D45="쉼",0,IF(D45="",1,IFERROR(VALUE(LEFT(D45,1)),1)))</f>
        <v>1</v>
      </c>
      <c r="O45" s="21" t="n">
        <f aca="false">IF(E45="쉼",0,IF(E45="",1,IFERROR(VALUE(LEFT(E45,1)),1)))</f>
        <v>1</v>
      </c>
      <c r="P45" s="21" t="n">
        <f aca="false">IF(F45="쉼",0,IF(F45="",1,IFERROR(VALUE(LEFT(F45,1)),1)))</f>
        <v>1</v>
      </c>
      <c r="Q45" s="21" t="n">
        <f aca="false">IF(G45="쉼",0,IF(G45="",1,IFERROR(VALUE(LEFT(G45,1)),1)))</f>
        <v>1</v>
      </c>
    </row>
    <row r="46" customFormat="false" ht="15" hidden="false" customHeight="false" outlineLevel="0" collapsed="false">
      <c r="A46" s="22" t="n">
        <v>42</v>
      </c>
      <c r="B46" s="23"/>
      <c r="C46" s="23"/>
      <c r="D46" s="24"/>
      <c r="E46" s="24"/>
      <c r="F46" s="24"/>
      <c r="G46" s="24"/>
      <c r="H46" s="25" t="str">
        <f aca="false">IF(OR($B46="",$C46="",COUNTIF($D$4:$G$4,$B46)=0),"",IF($B46=H$4,$C46*정산!$C$4*(SUM($N46:$Q46)-N46),-$C46*정산!$C$4*N46))</f>
        <v/>
      </c>
      <c r="I46" s="25" t="str">
        <f aca="false">IF(OR($B46="",$C46="",COUNTIF($D$4:$G$4,$B46)=0),"",IF($B46=I$4,$C46*정산!$C$4*(SUM($N46:$Q46)-O46),-$C46*정산!$C$4*O46))</f>
        <v/>
      </c>
      <c r="J46" s="25" t="str">
        <f aca="false">IF(OR($B46="",$C46="",COUNTIF($D$4:$G$4,$B46)=0),"",IF($B46=J$4,$C46*정산!$C$4*(SUM($N46:$Q46)-P46),-$C46*정산!$C$4*P46))</f>
        <v/>
      </c>
      <c r="K46" s="25" t="str">
        <f aca="false">IF(OR($B46="",$C46="",COUNTIF($D$4:$G$4,$B46)=0),"",IF($B46=K$4,$C46*정산!$C$4*(SUM($N46:$Q46)-Q46),-$C46*정산!$C$4*Q46))</f>
        <v/>
      </c>
      <c r="L46" s="26" t="str">
        <f aca="false">IF(AND($B46="",$C46=""),"",IF($B46="","승자 선택!",IF($C46="","점수 입력!",IF(COUNTIF($D$4:$G$4,$B46)=0,"승자 이름?",IF(COUNTIF(D46:G46,"쉼")&lt;&gt;1,"쉼 1명 표시!",IF(INDEX(D46:G46,MATCH($B46,$D$4:$G$4,0))="쉼","승자가 쉼?","✓"))))))</f>
        <v/>
      </c>
      <c r="M46" s="27"/>
      <c r="N46" s="21" t="n">
        <f aca="false">IF(D46="쉼",0,IF(D46="",1,IFERROR(VALUE(LEFT(D46,1)),1)))</f>
        <v>1</v>
      </c>
      <c r="O46" s="21" t="n">
        <f aca="false">IF(E46="쉼",0,IF(E46="",1,IFERROR(VALUE(LEFT(E46,1)),1)))</f>
        <v>1</v>
      </c>
      <c r="P46" s="21" t="n">
        <f aca="false">IF(F46="쉼",0,IF(F46="",1,IFERROR(VALUE(LEFT(F46,1)),1)))</f>
        <v>1</v>
      </c>
      <c r="Q46" s="21" t="n">
        <f aca="false">IF(G46="쉼",0,IF(G46="",1,IFERROR(VALUE(LEFT(G46,1)),1)))</f>
        <v>1</v>
      </c>
    </row>
    <row r="47" customFormat="false" ht="15" hidden="false" customHeight="false" outlineLevel="0" collapsed="false">
      <c r="A47" s="22" t="n">
        <v>43</v>
      </c>
      <c r="B47" s="23"/>
      <c r="C47" s="23"/>
      <c r="D47" s="24"/>
      <c r="E47" s="24"/>
      <c r="F47" s="24"/>
      <c r="G47" s="24"/>
      <c r="H47" s="25" t="str">
        <f aca="false">IF(OR($B47="",$C47="",COUNTIF($D$4:$G$4,$B47)=0),"",IF($B47=H$4,$C47*정산!$C$4*(SUM($N47:$Q47)-N47),-$C47*정산!$C$4*N47))</f>
        <v/>
      </c>
      <c r="I47" s="25" t="str">
        <f aca="false">IF(OR($B47="",$C47="",COUNTIF($D$4:$G$4,$B47)=0),"",IF($B47=I$4,$C47*정산!$C$4*(SUM($N47:$Q47)-O47),-$C47*정산!$C$4*O47))</f>
        <v/>
      </c>
      <c r="J47" s="25" t="str">
        <f aca="false">IF(OR($B47="",$C47="",COUNTIF($D$4:$G$4,$B47)=0),"",IF($B47=J$4,$C47*정산!$C$4*(SUM($N47:$Q47)-P47),-$C47*정산!$C$4*P47))</f>
        <v/>
      </c>
      <c r="K47" s="25" t="str">
        <f aca="false">IF(OR($B47="",$C47="",COUNTIF($D$4:$G$4,$B47)=0),"",IF($B47=K$4,$C47*정산!$C$4*(SUM($N47:$Q47)-Q47),-$C47*정산!$C$4*Q47))</f>
        <v/>
      </c>
      <c r="L47" s="26" t="str">
        <f aca="false">IF(AND($B47="",$C47=""),"",IF($B47="","승자 선택!",IF($C47="","점수 입력!",IF(COUNTIF($D$4:$G$4,$B47)=0,"승자 이름?",IF(COUNTIF(D47:G47,"쉼")&lt;&gt;1,"쉼 1명 표시!",IF(INDEX(D47:G47,MATCH($B47,$D$4:$G$4,0))="쉼","승자가 쉼?","✓"))))))</f>
        <v/>
      </c>
      <c r="M47" s="27"/>
      <c r="N47" s="21" t="n">
        <f aca="false">IF(D47="쉼",0,IF(D47="",1,IFERROR(VALUE(LEFT(D47,1)),1)))</f>
        <v>1</v>
      </c>
      <c r="O47" s="21" t="n">
        <f aca="false">IF(E47="쉼",0,IF(E47="",1,IFERROR(VALUE(LEFT(E47,1)),1)))</f>
        <v>1</v>
      </c>
      <c r="P47" s="21" t="n">
        <f aca="false">IF(F47="쉼",0,IF(F47="",1,IFERROR(VALUE(LEFT(F47,1)),1)))</f>
        <v>1</v>
      </c>
      <c r="Q47" s="21" t="n">
        <f aca="false">IF(G47="쉼",0,IF(G47="",1,IFERROR(VALUE(LEFT(G47,1)),1)))</f>
        <v>1</v>
      </c>
    </row>
    <row r="48" customFormat="false" ht="15" hidden="false" customHeight="false" outlineLevel="0" collapsed="false">
      <c r="A48" s="22" t="n">
        <v>44</v>
      </c>
      <c r="B48" s="23"/>
      <c r="C48" s="23"/>
      <c r="D48" s="24"/>
      <c r="E48" s="24"/>
      <c r="F48" s="24"/>
      <c r="G48" s="24"/>
      <c r="H48" s="25" t="str">
        <f aca="false">IF(OR($B48="",$C48="",COUNTIF($D$4:$G$4,$B48)=0),"",IF($B48=H$4,$C48*정산!$C$4*(SUM($N48:$Q48)-N48),-$C48*정산!$C$4*N48))</f>
        <v/>
      </c>
      <c r="I48" s="25" t="str">
        <f aca="false">IF(OR($B48="",$C48="",COUNTIF($D$4:$G$4,$B48)=0),"",IF($B48=I$4,$C48*정산!$C$4*(SUM($N48:$Q48)-O48),-$C48*정산!$C$4*O48))</f>
        <v/>
      </c>
      <c r="J48" s="25" t="str">
        <f aca="false">IF(OR($B48="",$C48="",COUNTIF($D$4:$G$4,$B48)=0),"",IF($B48=J$4,$C48*정산!$C$4*(SUM($N48:$Q48)-P48),-$C48*정산!$C$4*P48))</f>
        <v/>
      </c>
      <c r="K48" s="25" t="str">
        <f aca="false">IF(OR($B48="",$C48="",COUNTIF($D$4:$G$4,$B48)=0),"",IF($B48=K$4,$C48*정산!$C$4*(SUM($N48:$Q48)-Q48),-$C48*정산!$C$4*Q48))</f>
        <v/>
      </c>
      <c r="L48" s="26" t="str">
        <f aca="false">IF(AND($B48="",$C48=""),"",IF($B48="","승자 선택!",IF($C48="","점수 입력!",IF(COUNTIF($D$4:$G$4,$B48)=0,"승자 이름?",IF(COUNTIF(D48:G48,"쉼")&lt;&gt;1,"쉼 1명 표시!",IF(INDEX(D48:G48,MATCH($B48,$D$4:$G$4,0))="쉼","승자가 쉼?","✓"))))))</f>
        <v/>
      </c>
      <c r="M48" s="27"/>
      <c r="N48" s="21" t="n">
        <f aca="false">IF(D48="쉼",0,IF(D48="",1,IFERROR(VALUE(LEFT(D48,1)),1)))</f>
        <v>1</v>
      </c>
      <c r="O48" s="21" t="n">
        <f aca="false">IF(E48="쉼",0,IF(E48="",1,IFERROR(VALUE(LEFT(E48,1)),1)))</f>
        <v>1</v>
      </c>
      <c r="P48" s="21" t="n">
        <f aca="false">IF(F48="쉼",0,IF(F48="",1,IFERROR(VALUE(LEFT(F48,1)),1)))</f>
        <v>1</v>
      </c>
      <c r="Q48" s="21" t="n">
        <f aca="false">IF(G48="쉼",0,IF(G48="",1,IFERROR(VALUE(LEFT(G48,1)),1)))</f>
        <v>1</v>
      </c>
    </row>
    <row r="49" customFormat="false" ht="15" hidden="false" customHeight="false" outlineLevel="0" collapsed="false">
      <c r="A49" s="22" t="n">
        <v>45</v>
      </c>
      <c r="B49" s="23"/>
      <c r="C49" s="23"/>
      <c r="D49" s="24"/>
      <c r="E49" s="24"/>
      <c r="F49" s="24"/>
      <c r="G49" s="24"/>
      <c r="H49" s="25" t="str">
        <f aca="false">IF(OR($B49="",$C49="",COUNTIF($D$4:$G$4,$B49)=0),"",IF($B49=H$4,$C49*정산!$C$4*(SUM($N49:$Q49)-N49),-$C49*정산!$C$4*N49))</f>
        <v/>
      </c>
      <c r="I49" s="25" t="str">
        <f aca="false">IF(OR($B49="",$C49="",COUNTIF($D$4:$G$4,$B49)=0),"",IF($B49=I$4,$C49*정산!$C$4*(SUM($N49:$Q49)-O49),-$C49*정산!$C$4*O49))</f>
        <v/>
      </c>
      <c r="J49" s="25" t="str">
        <f aca="false">IF(OR($B49="",$C49="",COUNTIF($D$4:$G$4,$B49)=0),"",IF($B49=J$4,$C49*정산!$C$4*(SUM($N49:$Q49)-P49),-$C49*정산!$C$4*P49))</f>
        <v/>
      </c>
      <c r="K49" s="25" t="str">
        <f aca="false">IF(OR($B49="",$C49="",COUNTIF($D$4:$G$4,$B49)=0),"",IF($B49=K$4,$C49*정산!$C$4*(SUM($N49:$Q49)-Q49),-$C49*정산!$C$4*Q49))</f>
        <v/>
      </c>
      <c r="L49" s="26" t="str">
        <f aca="false">IF(AND($B49="",$C49=""),"",IF($B49="","승자 선택!",IF($C49="","점수 입력!",IF(COUNTIF($D$4:$G$4,$B49)=0,"승자 이름?",IF(COUNTIF(D49:G49,"쉼")&lt;&gt;1,"쉼 1명 표시!",IF(INDEX(D49:G49,MATCH($B49,$D$4:$G$4,0))="쉼","승자가 쉼?","✓"))))))</f>
        <v/>
      </c>
      <c r="M49" s="27"/>
      <c r="N49" s="21" t="n">
        <f aca="false">IF(D49="쉼",0,IF(D49="",1,IFERROR(VALUE(LEFT(D49,1)),1)))</f>
        <v>1</v>
      </c>
      <c r="O49" s="21" t="n">
        <f aca="false">IF(E49="쉼",0,IF(E49="",1,IFERROR(VALUE(LEFT(E49,1)),1)))</f>
        <v>1</v>
      </c>
      <c r="P49" s="21" t="n">
        <f aca="false">IF(F49="쉼",0,IF(F49="",1,IFERROR(VALUE(LEFT(F49,1)),1)))</f>
        <v>1</v>
      </c>
      <c r="Q49" s="21" t="n">
        <f aca="false">IF(G49="쉼",0,IF(G49="",1,IFERROR(VALUE(LEFT(G49,1)),1)))</f>
        <v>1</v>
      </c>
    </row>
    <row r="50" customFormat="false" ht="15" hidden="false" customHeight="false" outlineLevel="0" collapsed="false">
      <c r="A50" s="22" t="n">
        <v>46</v>
      </c>
      <c r="B50" s="23"/>
      <c r="C50" s="23"/>
      <c r="D50" s="24"/>
      <c r="E50" s="24"/>
      <c r="F50" s="24"/>
      <c r="G50" s="24"/>
      <c r="H50" s="25" t="str">
        <f aca="false">IF(OR($B50="",$C50="",COUNTIF($D$4:$G$4,$B50)=0),"",IF($B50=H$4,$C50*정산!$C$4*(SUM($N50:$Q50)-N50),-$C50*정산!$C$4*N50))</f>
        <v/>
      </c>
      <c r="I50" s="25" t="str">
        <f aca="false">IF(OR($B50="",$C50="",COUNTIF($D$4:$G$4,$B50)=0),"",IF($B50=I$4,$C50*정산!$C$4*(SUM($N50:$Q50)-O50),-$C50*정산!$C$4*O50))</f>
        <v/>
      </c>
      <c r="J50" s="25" t="str">
        <f aca="false">IF(OR($B50="",$C50="",COUNTIF($D$4:$G$4,$B50)=0),"",IF($B50=J$4,$C50*정산!$C$4*(SUM($N50:$Q50)-P50),-$C50*정산!$C$4*P50))</f>
        <v/>
      </c>
      <c r="K50" s="25" t="str">
        <f aca="false">IF(OR($B50="",$C50="",COUNTIF($D$4:$G$4,$B50)=0),"",IF($B50=K$4,$C50*정산!$C$4*(SUM($N50:$Q50)-Q50),-$C50*정산!$C$4*Q50))</f>
        <v/>
      </c>
      <c r="L50" s="26" t="str">
        <f aca="false">IF(AND($B50="",$C50=""),"",IF($B50="","승자 선택!",IF($C50="","점수 입력!",IF(COUNTIF($D$4:$G$4,$B50)=0,"승자 이름?",IF(COUNTIF(D50:G50,"쉼")&lt;&gt;1,"쉼 1명 표시!",IF(INDEX(D50:G50,MATCH($B50,$D$4:$G$4,0))="쉼","승자가 쉼?","✓"))))))</f>
        <v/>
      </c>
      <c r="M50" s="27"/>
      <c r="N50" s="21" t="n">
        <f aca="false">IF(D50="쉼",0,IF(D50="",1,IFERROR(VALUE(LEFT(D50,1)),1)))</f>
        <v>1</v>
      </c>
      <c r="O50" s="21" t="n">
        <f aca="false">IF(E50="쉼",0,IF(E50="",1,IFERROR(VALUE(LEFT(E50,1)),1)))</f>
        <v>1</v>
      </c>
      <c r="P50" s="21" t="n">
        <f aca="false">IF(F50="쉼",0,IF(F50="",1,IFERROR(VALUE(LEFT(F50,1)),1)))</f>
        <v>1</v>
      </c>
      <c r="Q50" s="21" t="n">
        <f aca="false">IF(G50="쉼",0,IF(G50="",1,IFERROR(VALUE(LEFT(G50,1)),1)))</f>
        <v>1</v>
      </c>
    </row>
    <row r="51" customFormat="false" ht="15" hidden="false" customHeight="false" outlineLevel="0" collapsed="false">
      <c r="A51" s="22" t="n">
        <v>47</v>
      </c>
      <c r="B51" s="23"/>
      <c r="C51" s="23"/>
      <c r="D51" s="24"/>
      <c r="E51" s="24"/>
      <c r="F51" s="24"/>
      <c r="G51" s="24"/>
      <c r="H51" s="25" t="str">
        <f aca="false">IF(OR($B51="",$C51="",COUNTIF($D$4:$G$4,$B51)=0),"",IF($B51=H$4,$C51*정산!$C$4*(SUM($N51:$Q51)-N51),-$C51*정산!$C$4*N51))</f>
        <v/>
      </c>
      <c r="I51" s="25" t="str">
        <f aca="false">IF(OR($B51="",$C51="",COUNTIF($D$4:$G$4,$B51)=0),"",IF($B51=I$4,$C51*정산!$C$4*(SUM($N51:$Q51)-O51),-$C51*정산!$C$4*O51))</f>
        <v/>
      </c>
      <c r="J51" s="25" t="str">
        <f aca="false">IF(OR($B51="",$C51="",COUNTIF($D$4:$G$4,$B51)=0),"",IF($B51=J$4,$C51*정산!$C$4*(SUM($N51:$Q51)-P51),-$C51*정산!$C$4*P51))</f>
        <v/>
      </c>
      <c r="K51" s="25" t="str">
        <f aca="false">IF(OR($B51="",$C51="",COUNTIF($D$4:$G$4,$B51)=0),"",IF($B51=K$4,$C51*정산!$C$4*(SUM($N51:$Q51)-Q51),-$C51*정산!$C$4*Q51))</f>
        <v/>
      </c>
      <c r="L51" s="26" t="str">
        <f aca="false">IF(AND($B51="",$C51=""),"",IF($B51="","승자 선택!",IF($C51="","점수 입력!",IF(COUNTIF($D$4:$G$4,$B51)=0,"승자 이름?",IF(COUNTIF(D51:G51,"쉼")&lt;&gt;1,"쉼 1명 표시!",IF(INDEX(D51:G51,MATCH($B51,$D$4:$G$4,0))="쉼","승자가 쉼?","✓"))))))</f>
        <v/>
      </c>
      <c r="M51" s="27"/>
      <c r="N51" s="21" t="n">
        <f aca="false">IF(D51="쉼",0,IF(D51="",1,IFERROR(VALUE(LEFT(D51,1)),1)))</f>
        <v>1</v>
      </c>
      <c r="O51" s="21" t="n">
        <f aca="false">IF(E51="쉼",0,IF(E51="",1,IFERROR(VALUE(LEFT(E51,1)),1)))</f>
        <v>1</v>
      </c>
      <c r="P51" s="21" t="n">
        <f aca="false">IF(F51="쉼",0,IF(F51="",1,IFERROR(VALUE(LEFT(F51,1)),1)))</f>
        <v>1</v>
      </c>
      <c r="Q51" s="21" t="n">
        <f aca="false">IF(G51="쉼",0,IF(G51="",1,IFERROR(VALUE(LEFT(G51,1)),1)))</f>
        <v>1</v>
      </c>
    </row>
    <row r="52" customFormat="false" ht="15" hidden="false" customHeight="false" outlineLevel="0" collapsed="false">
      <c r="A52" s="22" t="n">
        <v>48</v>
      </c>
      <c r="B52" s="23"/>
      <c r="C52" s="23"/>
      <c r="D52" s="24"/>
      <c r="E52" s="24"/>
      <c r="F52" s="24"/>
      <c r="G52" s="24"/>
      <c r="H52" s="25" t="str">
        <f aca="false">IF(OR($B52="",$C52="",COUNTIF($D$4:$G$4,$B52)=0),"",IF($B52=H$4,$C52*정산!$C$4*(SUM($N52:$Q52)-N52),-$C52*정산!$C$4*N52))</f>
        <v/>
      </c>
      <c r="I52" s="25" t="str">
        <f aca="false">IF(OR($B52="",$C52="",COUNTIF($D$4:$G$4,$B52)=0),"",IF($B52=I$4,$C52*정산!$C$4*(SUM($N52:$Q52)-O52),-$C52*정산!$C$4*O52))</f>
        <v/>
      </c>
      <c r="J52" s="25" t="str">
        <f aca="false">IF(OR($B52="",$C52="",COUNTIF($D$4:$G$4,$B52)=0),"",IF($B52=J$4,$C52*정산!$C$4*(SUM($N52:$Q52)-P52),-$C52*정산!$C$4*P52))</f>
        <v/>
      </c>
      <c r="K52" s="25" t="str">
        <f aca="false">IF(OR($B52="",$C52="",COUNTIF($D$4:$G$4,$B52)=0),"",IF($B52=K$4,$C52*정산!$C$4*(SUM($N52:$Q52)-Q52),-$C52*정산!$C$4*Q52))</f>
        <v/>
      </c>
      <c r="L52" s="26" t="str">
        <f aca="false">IF(AND($B52="",$C52=""),"",IF($B52="","승자 선택!",IF($C52="","점수 입력!",IF(COUNTIF($D$4:$G$4,$B52)=0,"승자 이름?",IF(COUNTIF(D52:G52,"쉼")&lt;&gt;1,"쉼 1명 표시!",IF(INDEX(D52:G52,MATCH($B52,$D$4:$G$4,0))="쉼","승자가 쉼?","✓"))))))</f>
        <v/>
      </c>
      <c r="M52" s="27"/>
      <c r="N52" s="21" t="n">
        <f aca="false">IF(D52="쉼",0,IF(D52="",1,IFERROR(VALUE(LEFT(D52,1)),1)))</f>
        <v>1</v>
      </c>
      <c r="O52" s="21" t="n">
        <f aca="false">IF(E52="쉼",0,IF(E52="",1,IFERROR(VALUE(LEFT(E52,1)),1)))</f>
        <v>1</v>
      </c>
      <c r="P52" s="21" t="n">
        <f aca="false">IF(F52="쉼",0,IF(F52="",1,IFERROR(VALUE(LEFT(F52,1)),1)))</f>
        <v>1</v>
      </c>
      <c r="Q52" s="21" t="n">
        <f aca="false">IF(G52="쉼",0,IF(G52="",1,IFERROR(VALUE(LEFT(G52,1)),1)))</f>
        <v>1</v>
      </c>
    </row>
    <row r="53" customFormat="false" ht="15" hidden="false" customHeight="false" outlineLevel="0" collapsed="false">
      <c r="A53" s="22" t="n">
        <v>49</v>
      </c>
      <c r="B53" s="23"/>
      <c r="C53" s="23"/>
      <c r="D53" s="24"/>
      <c r="E53" s="24"/>
      <c r="F53" s="24"/>
      <c r="G53" s="24"/>
      <c r="H53" s="25" t="str">
        <f aca="false">IF(OR($B53="",$C53="",COUNTIF($D$4:$G$4,$B53)=0),"",IF($B53=H$4,$C53*정산!$C$4*(SUM($N53:$Q53)-N53),-$C53*정산!$C$4*N53))</f>
        <v/>
      </c>
      <c r="I53" s="25" t="str">
        <f aca="false">IF(OR($B53="",$C53="",COUNTIF($D$4:$G$4,$B53)=0),"",IF($B53=I$4,$C53*정산!$C$4*(SUM($N53:$Q53)-O53),-$C53*정산!$C$4*O53))</f>
        <v/>
      </c>
      <c r="J53" s="25" t="str">
        <f aca="false">IF(OR($B53="",$C53="",COUNTIF($D$4:$G$4,$B53)=0),"",IF($B53=J$4,$C53*정산!$C$4*(SUM($N53:$Q53)-P53),-$C53*정산!$C$4*P53))</f>
        <v/>
      </c>
      <c r="K53" s="25" t="str">
        <f aca="false">IF(OR($B53="",$C53="",COUNTIF($D$4:$G$4,$B53)=0),"",IF($B53=K$4,$C53*정산!$C$4*(SUM($N53:$Q53)-Q53),-$C53*정산!$C$4*Q53))</f>
        <v/>
      </c>
      <c r="L53" s="26" t="str">
        <f aca="false">IF(AND($B53="",$C53=""),"",IF($B53="","승자 선택!",IF($C53="","점수 입력!",IF(COUNTIF($D$4:$G$4,$B53)=0,"승자 이름?",IF(COUNTIF(D53:G53,"쉼")&lt;&gt;1,"쉼 1명 표시!",IF(INDEX(D53:G53,MATCH($B53,$D$4:$G$4,0))="쉼","승자가 쉼?","✓"))))))</f>
        <v/>
      </c>
      <c r="M53" s="27"/>
      <c r="N53" s="21" t="n">
        <f aca="false">IF(D53="쉼",0,IF(D53="",1,IFERROR(VALUE(LEFT(D53,1)),1)))</f>
        <v>1</v>
      </c>
      <c r="O53" s="21" t="n">
        <f aca="false">IF(E53="쉼",0,IF(E53="",1,IFERROR(VALUE(LEFT(E53,1)),1)))</f>
        <v>1</v>
      </c>
      <c r="P53" s="21" t="n">
        <f aca="false">IF(F53="쉼",0,IF(F53="",1,IFERROR(VALUE(LEFT(F53,1)),1)))</f>
        <v>1</v>
      </c>
      <c r="Q53" s="21" t="n">
        <f aca="false">IF(G53="쉼",0,IF(G53="",1,IFERROR(VALUE(LEFT(G53,1)),1)))</f>
        <v>1</v>
      </c>
    </row>
    <row r="54" customFormat="false" ht="15" hidden="false" customHeight="false" outlineLevel="0" collapsed="false">
      <c r="A54" s="22" t="n">
        <v>50</v>
      </c>
      <c r="B54" s="23"/>
      <c r="C54" s="23"/>
      <c r="D54" s="24"/>
      <c r="E54" s="24"/>
      <c r="F54" s="24"/>
      <c r="G54" s="24"/>
      <c r="H54" s="25" t="str">
        <f aca="false">IF(OR($B54="",$C54="",COUNTIF($D$4:$G$4,$B54)=0),"",IF($B54=H$4,$C54*정산!$C$4*(SUM($N54:$Q54)-N54),-$C54*정산!$C$4*N54))</f>
        <v/>
      </c>
      <c r="I54" s="25" t="str">
        <f aca="false">IF(OR($B54="",$C54="",COUNTIF($D$4:$G$4,$B54)=0),"",IF($B54=I$4,$C54*정산!$C$4*(SUM($N54:$Q54)-O54),-$C54*정산!$C$4*O54))</f>
        <v/>
      </c>
      <c r="J54" s="25" t="str">
        <f aca="false">IF(OR($B54="",$C54="",COUNTIF($D$4:$G$4,$B54)=0),"",IF($B54=J$4,$C54*정산!$C$4*(SUM($N54:$Q54)-P54),-$C54*정산!$C$4*P54))</f>
        <v/>
      </c>
      <c r="K54" s="25" t="str">
        <f aca="false">IF(OR($B54="",$C54="",COUNTIF($D$4:$G$4,$B54)=0),"",IF($B54=K$4,$C54*정산!$C$4*(SUM($N54:$Q54)-Q54),-$C54*정산!$C$4*Q54))</f>
        <v/>
      </c>
      <c r="L54" s="26" t="str">
        <f aca="false">IF(AND($B54="",$C54=""),"",IF($B54="","승자 선택!",IF($C54="","점수 입력!",IF(COUNTIF($D$4:$G$4,$B54)=0,"승자 이름?",IF(COUNTIF(D54:G54,"쉼")&lt;&gt;1,"쉼 1명 표시!",IF(INDEX(D54:G54,MATCH($B54,$D$4:$G$4,0))="쉼","승자가 쉼?","✓"))))))</f>
        <v/>
      </c>
      <c r="M54" s="27"/>
      <c r="N54" s="21" t="n">
        <f aca="false">IF(D54="쉼",0,IF(D54="",1,IFERROR(VALUE(LEFT(D54,1)),1)))</f>
        <v>1</v>
      </c>
      <c r="O54" s="21" t="n">
        <f aca="false">IF(E54="쉼",0,IF(E54="",1,IFERROR(VALUE(LEFT(E54,1)),1)))</f>
        <v>1</v>
      </c>
      <c r="P54" s="21" t="n">
        <f aca="false">IF(F54="쉼",0,IF(F54="",1,IFERROR(VALUE(LEFT(F54,1)),1)))</f>
        <v>1</v>
      </c>
      <c r="Q54" s="21" t="n">
        <f aca="false">IF(G54="쉼",0,IF(G54="",1,IFERROR(VALUE(LEFT(G54,1)),1)))</f>
        <v>1</v>
      </c>
    </row>
    <row r="55" customFormat="false" ht="15" hidden="false" customHeight="false" outlineLevel="0" collapsed="false">
      <c r="A55" s="22" t="n">
        <v>51</v>
      </c>
      <c r="B55" s="23"/>
      <c r="C55" s="23"/>
      <c r="D55" s="24"/>
      <c r="E55" s="24"/>
      <c r="F55" s="24"/>
      <c r="G55" s="24"/>
      <c r="H55" s="25" t="str">
        <f aca="false">IF(OR($B55="",$C55="",COUNTIF($D$4:$G$4,$B55)=0),"",IF($B55=H$4,$C55*정산!$C$4*(SUM($N55:$Q55)-N55),-$C55*정산!$C$4*N55))</f>
        <v/>
      </c>
      <c r="I55" s="25" t="str">
        <f aca="false">IF(OR($B55="",$C55="",COUNTIF($D$4:$G$4,$B55)=0),"",IF($B55=I$4,$C55*정산!$C$4*(SUM($N55:$Q55)-O55),-$C55*정산!$C$4*O55))</f>
        <v/>
      </c>
      <c r="J55" s="25" t="str">
        <f aca="false">IF(OR($B55="",$C55="",COUNTIF($D$4:$G$4,$B55)=0),"",IF($B55=J$4,$C55*정산!$C$4*(SUM($N55:$Q55)-P55),-$C55*정산!$C$4*P55))</f>
        <v/>
      </c>
      <c r="K55" s="25" t="str">
        <f aca="false">IF(OR($B55="",$C55="",COUNTIF($D$4:$G$4,$B55)=0),"",IF($B55=K$4,$C55*정산!$C$4*(SUM($N55:$Q55)-Q55),-$C55*정산!$C$4*Q55))</f>
        <v/>
      </c>
      <c r="L55" s="26" t="str">
        <f aca="false">IF(AND($B55="",$C55=""),"",IF($B55="","승자 선택!",IF($C55="","점수 입력!",IF(COUNTIF($D$4:$G$4,$B55)=0,"승자 이름?",IF(COUNTIF(D55:G55,"쉼")&lt;&gt;1,"쉼 1명 표시!",IF(INDEX(D55:G55,MATCH($B55,$D$4:$G$4,0))="쉼","승자가 쉼?","✓"))))))</f>
        <v/>
      </c>
      <c r="M55" s="27"/>
      <c r="N55" s="21" t="n">
        <f aca="false">IF(D55="쉼",0,IF(D55="",1,IFERROR(VALUE(LEFT(D55,1)),1)))</f>
        <v>1</v>
      </c>
      <c r="O55" s="21" t="n">
        <f aca="false">IF(E55="쉼",0,IF(E55="",1,IFERROR(VALUE(LEFT(E55,1)),1)))</f>
        <v>1</v>
      </c>
      <c r="P55" s="21" t="n">
        <f aca="false">IF(F55="쉼",0,IF(F55="",1,IFERROR(VALUE(LEFT(F55,1)),1)))</f>
        <v>1</v>
      </c>
      <c r="Q55" s="21" t="n">
        <f aca="false">IF(G55="쉼",0,IF(G55="",1,IFERROR(VALUE(LEFT(G55,1)),1)))</f>
        <v>1</v>
      </c>
    </row>
    <row r="56" customFormat="false" ht="15" hidden="false" customHeight="false" outlineLevel="0" collapsed="false">
      <c r="A56" s="22" t="n">
        <v>52</v>
      </c>
      <c r="B56" s="23"/>
      <c r="C56" s="23"/>
      <c r="D56" s="24"/>
      <c r="E56" s="24"/>
      <c r="F56" s="24"/>
      <c r="G56" s="24"/>
      <c r="H56" s="25" t="str">
        <f aca="false">IF(OR($B56="",$C56="",COUNTIF($D$4:$G$4,$B56)=0),"",IF($B56=H$4,$C56*정산!$C$4*(SUM($N56:$Q56)-N56),-$C56*정산!$C$4*N56))</f>
        <v/>
      </c>
      <c r="I56" s="25" t="str">
        <f aca="false">IF(OR($B56="",$C56="",COUNTIF($D$4:$G$4,$B56)=0),"",IF($B56=I$4,$C56*정산!$C$4*(SUM($N56:$Q56)-O56),-$C56*정산!$C$4*O56))</f>
        <v/>
      </c>
      <c r="J56" s="25" t="str">
        <f aca="false">IF(OR($B56="",$C56="",COUNTIF($D$4:$G$4,$B56)=0),"",IF($B56=J$4,$C56*정산!$C$4*(SUM($N56:$Q56)-P56),-$C56*정산!$C$4*P56))</f>
        <v/>
      </c>
      <c r="K56" s="25" t="str">
        <f aca="false">IF(OR($B56="",$C56="",COUNTIF($D$4:$G$4,$B56)=0),"",IF($B56=K$4,$C56*정산!$C$4*(SUM($N56:$Q56)-Q56),-$C56*정산!$C$4*Q56))</f>
        <v/>
      </c>
      <c r="L56" s="26" t="str">
        <f aca="false">IF(AND($B56="",$C56=""),"",IF($B56="","승자 선택!",IF($C56="","점수 입력!",IF(COUNTIF($D$4:$G$4,$B56)=0,"승자 이름?",IF(COUNTIF(D56:G56,"쉼")&lt;&gt;1,"쉼 1명 표시!",IF(INDEX(D56:G56,MATCH($B56,$D$4:$G$4,0))="쉼","승자가 쉼?","✓"))))))</f>
        <v/>
      </c>
      <c r="M56" s="27"/>
      <c r="N56" s="21" t="n">
        <f aca="false">IF(D56="쉼",0,IF(D56="",1,IFERROR(VALUE(LEFT(D56,1)),1)))</f>
        <v>1</v>
      </c>
      <c r="O56" s="21" t="n">
        <f aca="false">IF(E56="쉼",0,IF(E56="",1,IFERROR(VALUE(LEFT(E56,1)),1)))</f>
        <v>1</v>
      </c>
      <c r="P56" s="21" t="n">
        <f aca="false">IF(F56="쉼",0,IF(F56="",1,IFERROR(VALUE(LEFT(F56,1)),1)))</f>
        <v>1</v>
      </c>
      <c r="Q56" s="21" t="n">
        <f aca="false">IF(G56="쉼",0,IF(G56="",1,IFERROR(VALUE(LEFT(G56,1)),1)))</f>
        <v>1</v>
      </c>
    </row>
    <row r="57" customFormat="false" ht="15" hidden="false" customHeight="false" outlineLevel="0" collapsed="false">
      <c r="A57" s="22" t="n">
        <v>53</v>
      </c>
      <c r="B57" s="23"/>
      <c r="C57" s="23"/>
      <c r="D57" s="24"/>
      <c r="E57" s="24"/>
      <c r="F57" s="24"/>
      <c r="G57" s="24"/>
      <c r="H57" s="25" t="str">
        <f aca="false">IF(OR($B57="",$C57="",COUNTIF($D$4:$G$4,$B57)=0),"",IF($B57=H$4,$C57*정산!$C$4*(SUM($N57:$Q57)-N57),-$C57*정산!$C$4*N57))</f>
        <v/>
      </c>
      <c r="I57" s="25" t="str">
        <f aca="false">IF(OR($B57="",$C57="",COUNTIF($D$4:$G$4,$B57)=0),"",IF($B57=I$4,$C57*정산!$C$4*(SUM($N57:$Q57)-O57),-$C57*정산!$C$4*O57))</f>
        <v/>
      </c>
      <c r="J57" s="25" t="str">
        <f aca="false">IF(OR($B57="",$C57="",COUNTIF($D$4:$G$4,$B57)=0),"",IF($B57=J$4,$C57*정산!$C$4*(SUM($N57:$Q57)-P57),-$C57*정산!$C$4*P57))</f>
        <v/>
      </c>
      <c r="K57" s="25" t="str">
        <f aca="false">IF(OR($B57="",$C57="",COUNTIF($D$4:$G$4,$B57)=0),"",IF($B57=K$4,$C57*정산!$C$4*(SUM($N57:$Q57)-Q57),-$C57*정산!$C$4*Q57))</f>
        <v/>
      </c>
      <c r="L57" s="26" t="str">
        <f aca="false">IF(AND($B57="",$C57=""),"",IF($B57="","승자 선택!",IF($C57="","점수 입력!",IF(COUNTIF($D$4:$G$4,$B57)=0,"승자 이름?",IF(COUNTIF(D57:G57,"쉼")&lt;&gt;1,"쉼 1명 표시!",IF(INDEX(D57:G57,MATCH($B57,$D$4:$G$4,0))="쉼","승자가 쉼?","✓"))))))</f>
        <v/>
      </c>
      <c r="M57" s="27"/>
      <c r="N57" s="21" t="n">
        <f aca="false">IF(D57="쉼",0,IF(D57="",1,IFERROR(VALUE(LEFT(D57,1)),1)))</f>
        <v>1</v>
      </c>
      <c r="O57" s="21" t="n">
        <f aca="false">IF(E57="쉼",0,IF(E57="",1,IFERROR(VALUE(LEFT(E57,1)),1)))</f>
        <v>1</v>
      </c>
      <c r="P57" s="21" t="n">
        <f aca="false">IF(F57="쉼",0,IF(F57="",1,IFERROR(VALUE(LEFT(F57,1)),1)))</f>
        <v>1</v>
      </c>
      <c r="Q57" s="21" t="n">
        <f aca="false">IF(G57="쉼",0,IF(G57="",1,IFERROR(VALUE(LEFT(G57,1)),1)))</f>
        <v>1</v>
      </c>
    </row>
    <row r="58" customFormat="false" ht="15" hidden="false" customHeight="false" outlineLevel="0" collapsed="false">
      <c r="A58" s="22" t="n">
        <v>54</v>
      </c>
      <c r="B58" s="23"/>
      <c r="C58" s="23"/>
      <c r="D58" s="24"/>
      <c r="E58" s="24"/>
      <c r="F58" s="24"/>
      <c r="G58" s="24"/>
      <c r="H58" s="25" t="str">
        <f aca="false">IF(OR($B58="",$C58="",COUNTIF($D$4:$G$4,$B58)=0),"",IF($B58=H$4,$C58*정산!$C$4*(SUM($N58:$Q58)-N58),-$C58*정산!$C$4*N58))</f>
        <v/>
      </c>
      <c r="I58" s="25" t="str">
        <f aca="false">IF(OR($B58="",$C58="",COUNTIF($D$4:$G$4,$B58)=0),"",IF($B58=I$4,$C58*정산!$C$4*(SUM($N58:$Q58)-O58),-$C58*정산!$C$4*O58))</f>
        <v/>
      </c>
      <c r="J58" s="25" t="str">
        <f aca="false">IF(OR($B58="",$C58="",COUNTIF($D$4:$G$4,$B58)=0),"",IF($B58=J$4,$C58*정산!$C$4*(SUM($N58:$Q58)-P58),-$C58*정산!$C$4*P58))</f>
        <v/>
      </c>
      <c r="K58" s="25" t="str">
        <f aca="false">IF(OR($B58="",$C58="",COUNTIF($D$4:$G$4,$B58)=0),"",IF($B58=K$4,$C58*정산!$C$4*(SUM($N58:$Q58)-Q58),-$C58*정산!$C$4*Q58))</f>
        <v/>
      </c>
      <c r="L58" s="26" t="str">
        <f aca="false">IF(AND($B58="",$C58=""),"",IF($B58="","승자 선택!",IF($C58="","점수 입력!",IF(COUNTIF($D$4:$G$4,$B58)=0,"승자 이름?",IF(COUNTIF(D58:G58,"쉼")&lt;&gt;1,"쉼 1명 표시!",IF(INDEX(D58:G58,MATCH($B58,$D$4:$G$4,0))="쉼","승자가 쉼?","✓"))))))</f>
        <v/>
      </c>
      <c r="M58" s="27"/>
      <c r="N58" s="21" t="n">
        <f aca="false">IF(D58="쉼",0,IF(D58="",1,IFERROR(VALUE(LEFT(D58,1)),1)))</f>
        <v>1</v>
      </c>
      <c r="O58" s="21" t="n">
        <f aca="false">IF(E58="쉼",0,IF(E58="",1,IFERROR(VALUE(LEFT(E58,1)),1)))</f>
        <v>1</v>
      </c>
      <c r="P58" s="21" t="n">
        <f aca="false">IF(F58="쉼",0,IF(F58="",1,IFERROR(VALUE(LEFT(F58,1)),1)))</f>
        <v>1</v>
      </c>
      <c r="Q58" s="21" t="n">
        <f aca="false">IF(G58="쉼",0,IF(G58="",1,IFERROR(VALUE(LEFT(G58,1)),1)))</f>
        <v>1</v>
      </c>
    </row>
    <row r="59" customFormat="false" ht="15" hidden="false" customHeight="false" outlineLevel="0" collapsed="false">
      <c r="A59" s="22" t="n">
        <v>55</v>
      </c>
      <c r="B59" s="23"/>
      <c r="C59" s="23"/>
      <c r="D59" s="24"/>
      <c r="E59" s="24"/>
      <c r="F59" s="24"/>
      <c r="G59" s="24"/>
      <c r="H59" s="25" t="str">
        <f aca="false">IF(OR($B59="",$C59="",COUNTIF($D$4:$G$4,$B59)=0),"",IF($B59=H$4,$C59*정산!$C$4*(SUM($N59:$Q59)-N59),-$C59*정산!$C$4*N59))</f>
        <v/>
      </c>
      <c r="I59" s="25" t="str">
        <f aca="false">IF(OR($B59="",$C59="",COUNTIF($D$4:$G$4,$B59)=0),"",IF($B59=I$4,$C59*정산!$C$4*(SUM($N59:$Q59)-O59),-$C59*정산!$C$4*O59))</f>
        <v/>
      </c>
      <c r="J59" s="25" t="str">
        <f aca="false">IF(OR($B59="",$C59="",COUNTIF($D$4:$G$4,$B59)=0),"",IF($B59=J$4,$C59*정산!$C$4*(SUM($N59:$Q59)-P59),-$C59*정산!$C$4*P59))</f>
        <v/>
      </c>
      <c r="K59" s="25" t="str">
        <f aca="false">IF(OR($B59="",$C59="",COUNTIF($D$4:$G$4,$B59)=0),"",IF($B59=K$4,$C59*정산!$C$4*(SUM($N59:$Q59)-Q59),-$C59*정산!$C$4*Q59))</f>
        <v/>
      </c>
      <c r="L59" s="26" t="str">
        <f aca="false">IF(AND($B59="",$C59=""),"",IF($B59="","승자 선택!",IF($C59="","점수 입력!",IF(COUNTIF($D$4:$G$4,$B59)=0,"승자 이름?",IF(COUNTIF(D59:G59,"쉼")&lt;&gt;1,"쉼 1명 표시!",IF(INDEX(D59:G59,MATCH($B59,$D$4:$G$4,0))="쉼","승자가 쉼?","✓"))))))</f>
        <v/>
      </c>
      <c r="M59" s="27"/>
      <c r="N59" s="21" t="n">
        <f aca="false">IF(D59="쉼",0,IF(D59="",1,IFERROR(VALUE(LEFT(D59,1)),1)))</f>
        <v>1</v>
      </c>
      <c r="O59" s="21" t="n">
        <f aca="false">IF(E59="쉼",0,IF(E59="",1,IFERROR(VALUE(LEFT(E59,1)),1)))</f>
        <v>1</v>
      </c>
      <c r="P59" s="21" t="n">
        <f aca="false">IF(F59="쉼",0,IF(F59="",1,IFERROR(VALUE(LEFT(F59,1)),1)))</f>
        <v>1</v>
      </c>
      <c r="Q59" s="21" t="n">
        <f aca="false">IF(G59="쉼",0,IF(G59="",1,IFERROR(VALUE(LEFT(G59,1)),1)))</f>
        <v>1</v>
      </c>
    </row>
    <row r="60" customFormat="false" ht="15" hidden="false" customHeight="false" outlineLevel="0" collapsed="false">
      <c r="A60" s="22" t="n">
        <v>56</v>
      </c>
      <c r="B60" s="23"/>
      <c r="C60" s="23"/>
      <c r="D60" s="24"/>
      <c r="E60" s="24"/>
      <c r="F60" s="24"/>
      <c r="G60" s="24"/>
      <c r="H60" s="25" t="str">
        <f aca="false">IF(OR($B60="",$C60="",COUNTIF($D$4:$G$4,$B60)=0),"",IF($B60=H$4,$C60*정산!$C$4*(SUM($N60:$Q60)-N60),-$C60*정산!$C$4*N60))</f>
        <v/>
      </c>
      <c r="I60" s="25" t="str">
        <f aca="false">IF(OR($B60="",$C60="",COUNTIF($D$4:$G$4,$B60)=0),"",IF($B60=I$4,$C60*정산!$C$4*(SUM($N60:$Q60)-O60),-$C60*정산!$C$4*O60))</f>
        <v/>
      </c>
      <c r="J60" s="25" t="str">
        <f aca="false">IF(OR($B60="",$C60="",COUNTIF($D$4:$G$4,$B60)=0),"",IF($B60=J$4,$C60*정산!$C$4*(SUM($N60:$Q60)-P60),-$C60*정산!$C$4*P60))</f>
        <v/>
      </c>
      <c r="K60" s="25" t="str">
        <f aca="false">IF(OR($B60="",$C60="",COUNTIF($D$4:$G$4,$B60)=0),"",IF($B60=K$4,$C60*정산!$C$4*(SUM($N60:$Q60)-Q60),-$C60*정산!$C$4*Q60))</f>
        <v/>
      </c>
      <c r="L60" s="26" t="str">
        <f aca="false">IF(AND($B60="",$C60=""),"",IF($B60="","승자 선택!",IF($C60="","점수 입력!",IF(COUNTIF($D$4:$G$4,$B60)=0,"승자 이름?",IF(COUNTIF(D60:G60,"쉼")&lt;&gt;1,"쉼 1명 표시!",IF(INDEX(D60:G60,MATCH($B60,$D$4:$G$4,0))="쉼","승자가 쉼?","✓"))))))</f>
        <v/>
      </c>
      <c r="M60" s="27"/>
      <c r="N60" s="21" t="n">
        <f aca="false">IF(D60="쉼",0,IF(D60="",1,IFERROR(VALUE(LEFT(D60,1)),1)))</f>
        <v>1</v>
      </c>
      <c r="O60" s="21" t="n">
        <f aca="false">IF(E60="쉼",0,IF(E60="",1,IFERROR(VALUE(LEFT(E60,1)),1)))</f>
        <v>1</v>
      </c>
      <c r="P60" s="21" t="n">
        <f aca="false">IF(F60="쉼",0,IF(F60="",1,IFERROR(VALUE(LEFT(F60,1)),1)))</f>
        <v>1</v>
      </c>
      <c r="Q60" s="21" t="n">
        <f aca="false">IF(G60="쉼",0,IF(G60="",1,IFERROR(VALUE(LEFT(G60,1)),1)))</f>
        <v>1</v>
      </c>
    </row>
    <row r="61" customFormat="false" ht="15" hidden="false" customHeight="false" outlineLevel="0" collapsed="false">
      <c r="A61" s="22" t="n">
        <v>57</v>
      </c>
      <c r="B61" s="23"/>
      <c r="C61" s="23"/>
      <c r="D61" s="24"/>
      <c r="E61" s="24"/>
      <c r="F61" s="24"/>
      <c r="G61" s="24"/>
      <c r="H61" s="25" t="str">
        <f aca="false">IF(OR($B61="",$C61="",COUNTIF($D$4:$G$4,$B61)=0),"",IF($B61=H$4,$C61*정산!$C$4*(SUM($N61:$Q61)-N61),-$C61*정산!$C$4*N61))</f>
        <v/>
      </c>
      <c r="I61" s="25" t="str">
        <f aca="false">IF(OR($B61="",$C61="",COUNTIF($D$4:$G$4,$B61)=0),"",IF($B61=I$4,$C61*정산!$C$4*(SUM($N61:$Q61)-O61),-$C61*정산!$C$4*O61))</f>
        <v/>
      </c>
      <c r="J61" s="25" t="str">
        <f aca="false">IF(OR($B61="",$C61="",COUNTIF($D$4:$G$4,$B61)=0),"",IF($B61=J$4,$C61*정산!$C$4*(SUM($N61:$Q61)-P61),-$C61*정산!$C$4*P61))</f>
        <v/>
      </c>
      <c r="K61" s="25" t="str">
        <f aca="false">IF(OR($B61="",$C61="",COUNTIF($D$4:$G$4,$B61)=0),"",IF($B61=K$4,$C61*정산!$C$4*(SUM($N61:$Q61)-Q61),-$C61*정산!$C$4*Q61))</f>
        <v/>
      </c>
      <c r="L61" s="26" t="str">
        <f aca="false">IF(AND($B61="",$C61=""),"",IF($B61="","승자 선택!",IF($C61="","점수 입력!",IF(COUNTIF($D$4:$G$4,$B61)=0,"승자 이름?",IF(COUNTIF(D61:G61,"쉼")&lt;&gt;1,"쉼 1명 표시!",IF(INDEX(D61:G61,MATCH($B61,$D$4:$G$4,0))="쉼","승자가 쉼?","✓"))))))</f>
        <v/>
      </c>
      <c r="M61" s="27"/>
      <c r="N61" s="21" t="n">
        <f aca="false">IF(D61="쉼",0,IF(D61="",1,IFERROR(VALUE(LEFT(D61,1)),1)))</f>
        <v>1</v>
      </c>
      <c r="O61" s="21" t="n">
        <f aca="false">IF(E61="쉼",0,IF(E61="",1,IFERROR(VALUE(LEFT(E61,1)),1)))</f>
        <v>1</v>
      </c>
      <c r="P61" s="21" t="n">
        <f aca="false">IF(F61="쉼",0,IF(F61="",1,IFERROR(VALUE(LEFT(F61,1)),1)))</f>
        <v>1</v>
      </c>
      <c r="Q61" s="21" t="n">
        <f aca="false">IF(G61="쉼",0,IF(G61="",1,IFERROR(VALUE(LEFT(G61,1)),1)))</f>
        <v>1</v>
      </c>
    </row>
    <row r="62" customFormat="false" ht="15" hidden="false" customHeight="false" outlineLevel="0" collapsed="false">
      <c r="A62" s="22" t="n">
        <v>58</v>
      </c>
      <c r="B62" s="23"/>
      <c r="C62" s="23"/>
      <c r="D62" s="24"/>
      <c r="E62" s="24"/>
      <c r="F62" s="24"/>
      <c r="G62" s="24"/>
      <c r="H62" s="25" t="str">
        <f aca="false">IF(OR($B62="",$C62="",COUNTIF($D$4:$G$4,$B62)=0),"",IF($B62=H$4,$C62*정산!$C$4*(SUM($N62:$Q62)-N62),-$C62*정산!$C$4*N62))</f>
        <v/>
      </c>
      <c r="I62" s="25" t="str">
        <f aca="false">IF(OR($B62="",$C62="",COUNTIF($D$4:$G$4,$B62)=0),"",IF($B62=I$4,$C62*정산!$C$4*(SUM($N62:$Q62)-O62),-$C62*정산!$C$4*O62))</f>
        <v/>
      </c>
      <c r="J62" s="25" t="str">
        <f aca="false">IF(OR($B62="",$C62="",COUNTIF($D$4:$G$4,$B62)=0),"",IF($B62=J$4,$C62*정산!$C$4*(SUM($N62:$Q62)-P62),-$C62*정산!$C$4*P62))</f>
        <v/>
      </c>
      <c r="K62" s="25" t="str">
        <f aca="false">IF(OR($B62="",$C62="",COUNTIF($D$4:$G$4,$B62)=0),"",IF($B62=K$4,$C62*정산!$C$4*(SUM($N62:$Q62)-Q62),-$C62*정산!$C$4*Q62))</f>
        <v/>
      </c>
      <c r="L62" s="26" t="str">
        <f aca="false">IF(AND($B62="",$C62=""),"",IF($B62="","승자 선택!",IF($C62="","점수 입력!",IF(COUNTIF($D$4:$G$4,$B62)=0,"승자 이름?",IF(COUNTIF(D62:G62,"쉼")&lt;&gt;1,"쉼 1명 표시!",IF(INDEX(D62:G62,MATCH($B62,$D$4:$G$4,0))="쉼","승자가 쉼?","✓"))))))</f>
        <v/>
      </c>
      <c r="M62" s="27"/>
      <c r="N62" s="21" t="n">
        <f aca="false">IF(D62="쉼",0,IF(D62="",1,IFERROR(VALUE(LEFT(D62,1)),1)))</f>
        <v>1</v>
      </c>
      <c r="O62" s="21" t="n">
        <f aca="false">IF(E62="쉼",0,IF(E62="",1,IFERROR(VALUE(LEFT(E62,1)),1)))</f>
        <v>1</v>
      </c>
      <c r="P62" s="21" t="n">
        <f aca="false">IF(F62="쉼",0,IF(F62="",1,IFERROR(VALUE(LEFT(F62,1)),1)))</f>
        <v>1</v>
      </c>
      <c r="Q62" s="21" t="n">
        <f aca="false">IF(G62="쉼",0,IF(G62="",1,IFERROR(VALUE(LEFT(G62,1)),1)))</f>
        <v>1</v>
      </c>
    </row>
    <row r="63" customFormat="false" ht="15" hidden="false" customHeight="false" outlineLevel="0" collapsed="false">
      <c r="A63" s="22" t="n">
        <v>59</v>
      </c>
      <c r="B63" s="23"/>
      <c r="C63" s="23"/>
      <c r="D63" s="24"/>
      <c r="E63" s="24"/>
      <c r="F63" s="24"/>
      <c r="G63" s="24"/>
      <c r="H63" s="25" t="str">
        <f aca="false">IF(OR($B63="",$C63="",COUNTIF($D$4:$G$4,$B63)=0),"",IF($B63=H$4,$C63*정산!$C$4*(SUM($N63:$Q63)-N63),-$C63*정산!$C$4*N63))</f>
        <v/>
      </c>
      <c r="I63" s="25" t="str">
        <f aca="false">IF(OR($B63="",$C63="",COUNTIF($D$4:$G$4,$B63)=0),"",IF($B63=I$4,$C63*정산!$C$4*(SUM($N63:$Q63)-O63),-$C63*정산!$C$4*O63))</f>
        <v/>
      </c>
      <c r="J63" s="25" t="str">
        <f aca="false">IF(OR($B63="",$C63="",COUNTIF($D$4:$G$4,$B63)=0),"",IF($B63=J$4,$C63*정산!$C$4*(SUM($N63:$Q63)-P63),-$C63*정산!$C$4*P63))</f>
        <v/>
      </c>
      <c r="K63" s="25" t="str">
        <f aca="false">IF(OR($B63="",$C63="",COUNTIF($D$4:$G$4,$B63)=0),"",IF($B63=K$4,$C63*정산!$C$4*(SUM($N63:$Q63)-Q63),-$C63*정산!$C$4*Q63))</f>
        <v/>
      </c>
      <c r="L63" s="26" t="str">
        <f aca="false">IF(AND($B63="",$C63=""),"",IF($B63="","승자 선택!",IF($C63="","점수 입력!",IF(COUNTIF($D$4:$G$4,$B63)=0,"승자 이름?",IF(COUNTIF(D63:G63,"쉼")&lt;&gt;1,"쉼 1명 표시!",IF(INDEX(D63:G63,MATCH($B63,$D$4:$G$4,0))="쉼","승자가 쉼?","✓"))))))</f>
        <v/>
      </c>
      <c r="M63" s="27"/>
      <c r="N63" s="21" t="n">
        <f aca="false">IF(D63="쉼",0,IF(D63="",1,IFERROR(VALUE(LEFT(D63,1)),1)))</f>
        <v>1</v>
      </c>
      <c r="O63" s="21" t="n">
        <f aca="false">IF(E63="쉼",0,IF(E63="",1,IFERROR(VALUE(LEFT(E63,1)),1)))</f>
        <v>1</v>
      </c>
      <c r="P63" s="21" t="n">
        <f aca="false">IF(F63="쉼",0,IF(F63="",1,IFERROR(VALUE(LEFT(F63,1)),1)))</f>
        <v>1</v>
      </c>
      <c r="Q63" s="21" t="n">
        <f aca="false">IF(G63="쉼",0,IF(G63="",1,IFERROR(VALUE(LEFT(G63,1)),1)))</f>
        <v>1</v>
      </c>
    </row>
    <row r="64" customFormat="false" ht="15" hidden="false" customHeight="false" outlineLevel="0" collapsed="false">
      <c r="A64" s="22" t="n">
        <v>60</v>
      </c>
      <c r="B64" s="23"/>
      <c r="C64" s="23"/>
      <c r="D64" s="24"/>
      <c r="E64" s="24"/>
      <c r="F64" s="24"/>
      <c r="G64" s="24"/>
      <c r="H64" s="25" t="str">
        <f aca="false">IF(OR($B64="",$C64="",COUNTIF($D$4:$G$4,$B64)=0),"",IF($B64=H$4,$C64*정산!$C$4*(SUM($N64:$Q64)-N64),-$C64*정산!$C$4*N64))</f>
        <v/>
      </c>
      <c r="I64" s="25" t="str">
        <f aca="false">IF(OR($B64="",$C64="",COUNTIF($D$4:$G$4,$B64)=0),"",IF($B64=I$4,$C64*정산!$C$4*(SUM($N64:$Q64)-O64),-$C64*정산!$C$4*O64))</f>
        <v/>
      </c>
      <c r="J64" s="25" t="str">
        <f aca="false">IF(OR($B64="",$C64="",COUNTIF($D$4:$G$4,$B64)=0),"",IF($B64=J$4,$C64*정산!$C$4*(SUM($N64:$Q64)-P64),-$C64*정산!$C$4*P64))</f>
        <v/>
      </c>
      <c r="K64" s="25" t="str">
        <f aca="false">IF(OR($B64="",$C64="",COUNTIF($D$4:$G$4,$B64)=0),"",IF($B64=K$4,$C64*정산!$C$4*(SUM($N64:$Q64)-Q64),-$C64*정산!$C$4*Q64))</f>
        <v/>
      </c>
      <c r="L64" s="26" t="str">
        <f aca="false">IF(AND($B64="",$C64=""),"",IF($B64="","승자 선택!",IF($C64="","점수 입력!",IF(COUNTIF($D$4:$G$4,$B64)=0,"승자 이름?",IF(COUNTIF(D64:G64,"쉼")&lt;&gt;1,"쉼 1명 표시!",IF(INDEX(D64:G64,MATCH($B64,$D$4:$G$4,0))="쉼","승자가 쉼?","✓"))))))</f>
        <v/>
      </c>
      <c r="M64" s="27"/>
      <c r="N64" s="21" t="n">
        <f aca="false">IF(D64="쉼",0,IF(D64="",1,IFERROR(VALUE(LEFT(D64,1)),1)))</f>
        <v>1</v>
      </c>
      <c r="O64" s="21" t="n">
        <f aca="false">IF(E64="쉼",0,IF(E64="",1,IFERROR(VALUE(LEFT(E64,1)),1)))</f>
        <v>1</v>
      </c>
      <c r="P64" s="21" t="n">
        <f aca="false">IF(F64="쉼",0,IF(F64="",1,IFERROR(VALUE(LEFT(F64,1)),1)))</f>
        <v>1</v>
      </c>
      <c r="Q64" s="21" t="n">
        <f aca="false">IF(G64="쉼",0,IF(G64="",1,IFERROR(VALUE(LEFT(G64,1)),1)))</f>
        <v>1</v>
      </c>
    </row>
    <row r="65" customFormat="false" ht="15" hidden="false" customHeight="false" outlineLevel="0" collapsed="false">
      <c r="A65" s="22" t="n">
        <v>61</v>
      </c>
      <c r="B65" s="23"/>
      <c r="C65" s="23"/>
      <c r="D65" s="24"/>
      <c r="E65" s="24"/>
      <c r="F65" s="24"/>
      <c r="G65" s="24"/>
      <c r="H65" s="25" t="str">
        <f aca="false">IF(OR($B65="",$C65="",COUNTIF($D$4:$G$4,$B65)=0),"",IF($B65=H$4,$C65*정산!$C$4*(SUM($N65:$Q65)-N65),-$C65*정산!$C$4*N65))</f>
        <v/>
      </c>
      <c r="I65" s="25" t="str">
        <f aca="false">IF(OR($B65="",$C65="",COUNTIF($D$4:$G$4,$B65)=0),"",IF($B65=I$4,$C65*정산!$C$4*(SUM($N65:$Q65)-O65),-$C65*정산!$C$4*O65))</f>
        <v/>
      </c>
      <c r="J65" s="25" t="str">
        <f aca="false">IF(OR($B65="",$C65="",COUNTIF($D$4:$G$4,$B65)=0),"",IF($B65=J$4,$C65*정산!$C$4*(SUM($N65:$Q65)-P65),-$C65*정산!$C$4*P65))</f>
        <v/>
      </c>
      <c r="K65" s="25" t="str">
        <f aca="false">IF(OR($B65="",$C65="",COUNTIF($D$4:$G$4,$B65)=0),"",IF($B65=K$4,$C65*정산!$C$4*(SUM($N65:$Q65)-Q65),-$C65*정산!$C$4*Q65))</f>
        <v/>
      </c>
      <c r="L65" s="26" t="str">
        <f aca="false">IF(AND($B65="",$C65=""),"",IF($B65="","승자 선택!",IF($C65="","점수 입력!",IF(COUNTIF($D$4:$G$4,$B65)=0,"승자 이름?",IF(COUNTIF(D65:G65,"쉼")&lt;&gt;1,"쉼 1명 표시!",IF(INDEX(D65:G65,MATCH($B65,$D$4:$G$4,0))="쉼","승자가 쉼?","✓"))))))</f>
        <v/>
      </c>
      <c r="M65" s="27"/>
      <c r="N65" s="21" t="n">
        <f aca="false">IF(D65="쉼",0,IF(D65="",1,IFERROR(VALUE(LEFT(D65,1)),1)))</f>
        <v>1</v>
      </c>
      <c r="O65" s="21" t="n">
        <f aca="false">IF(E65="쉼",0,IF(E65="",1,IFERROR(VALUE(LEFT(E65,1)),1)))</f>
        <v>1</v>
      </c>
      <c r="P65" s="21" t="n">
        <f aca="false">IF(F65="쉼",0,IF(F65="",1,IFERROR(VALUE(LEFT(F65,1)),1)))</f>
        <v>1</v>
      </c>
      <c r="Q65" s="21" t="n">
        <f aca="false">IF(G65="쉼",0,IF(G65="",1,IFERROR(VALUE(LEFT(G65,1)),1)))</f>
        <v>1</v>
      </c>
    </row>
    <row r="66" customFormat="false" ht="15" hidden="false" customHeight="false" outlineLevel="0" collapsed="false">
      <c r="A66" s="22" t="n">
        <v>62</v>
      </c>
      <c r="B66" s="23"/>
      <c r="C66" s="23"/>
      <c r="D66" s="24"/>
      <c r="E66" s="24"/>
      <c r="F66" s="24"/>
      <c r="G66" s="24"/>
      <c r="H66" s="25" t="str">
        <f aca="false">IF(OR($B66="",$C66="",COUNTIF($D$4:$G$4,$B66)=0),"",IF($B66=H$4,$C66*정산!$C$4*(SUM($N66:$Q66)-N66),-$C66*정산!$C$4*N66))</f>
        <v/>
      </c>
      <c r="I66" s="25" t="str">
        <f aca="false">IF(OR($B66="",$C66="",COUNTIF($D$4:$G$4,$B66)=0),"",IF($B66=I$4,$C66*정산!$C$4*(SUM($N66:$Q66)-O66),-$C66*정산!$C$4*O66))</f>
        <v/>
      </c>
      <c r="J66" s="25" t="str">
        <f aca="false">IF(OR($B66="",$C66="",COUNTIF($D$4:$G$4,$B66)=0),"",IF($B66=J$4,$C66*정산!$C$4*(SUM($N66:$Q66)-P66),-$C66*정산!$C$4*P66))</f>
        <v/>
      </c>
      <c r="K66" s="25" t="str">
        <f aca="false">IF(OR($B66="",$C66="",COUNTIF($D$4:$G$4,$B66)=0),"",IF($B66=K$4,$C66*정산!$C$4*(SUM($N66:$Q66)-Q66),-$C66*정산!$C$4*Q66))</f>
        <v/>
      </c>
      <c r="L66" s="26" t="str">
        <f aca="false">IF(AND($B66="",$C66=""),"",IF($B66="","승자 선택!",IF($C66="","점수 입력!",IF(COUNTIF($D$4:$G$4,$B66)=0,"승자 이름?",IF(COUNTIF(D66:G66,"쉼")&lt;&gt;1,"쉼 1명 표시!",IF(INDEX(D66:G66,MATCH($B66,$D$4:$G$4,0))="쉼","승자가 쉼?","✓"))))))</f>
        <v/>
      </c>
      <c r="M66" s="27"/>
      <c r="N66" s="21" t="n">
        <f aca="false">IF(D66="쉼",0,IF(D66="",1,IFERROR(VALUE(LEFT(D66,1)),1)))</f>
        <v>1</v>
      </c>
      <c r="O66" s="21" t="n">
        <f aca="false">IF(E66="쉼",0,IF(E66="",1,IFERROR(VALUE(LEFT(E66,1)),1)))</f>
        <v>1</v>
      </c>
      <c r="P66" s="21" t="n">
        <f aca="false">IF(F66="쉼",0,IF(F66="",1,IFERROR(VALUE(LEFT(F66,1)),1)))</f>
        <v>1</v>
      </c>
      <c r="Q66" s="21" t="n">
        <f aca="false">IF(G66="쉼",0,IF(G66="",1,IFERROR(VALUE(LEFT(G66,1)),1)))</f>
        <v>1</v>
      </c>
    </row>
    <row r="67" customFormat="false" ht="15" hidden="false" customHeight="false" outlineLevel="0" collapsed="false">
      <c r="A67" s="22" t="n">
        <v>63</v>
      </c>
      <c r="B67" s="23"/>
      <c r="C67" s="23"/>
      <c r="D67" s="24"/>
      <c r="E67" s="24"/>
      <c r="F67" s="24"/>
      <c r="G67" s="24"/>
      <c r="H67" s="25" t="str">
        <f aca="false">IF(OR($B67="",$C67="",COUNTIF($D$4:$G$4,$B67)=0),"",IF($B67=H$4,$C67*정산!$C$4*(SUM($N67:$Q67)-N67),-$C67*정산!$C$4*N67))</f>
        <v/>
      </c>
      <c r="I67" s="25" t="str">
        <f aca="false">IF(OR($B67="",$C67="",COUNTIF($D$4:$G$4,$B67)=0),"",IF($B67=I$4,$C67*정산!$C$4*(SUM($N67:$Q67)-O67),-$C67*정산!$C$4*O67))</f>
        <v/>
      </c>
      <c r="J67" s="25" t="str">
        <f aca="false">IF(OR($B67="",$C67="",COUNTIF($D$4:$G$4,$B67)=0),"",IF($B67=J$4,$C67*정산!$C$4*(SUM($N67:$Q67)-P67),-$C67*정산!$C$4*P67))</f>
        <v/>
      </c>
      <c r="K67" s="25" t="str">
        <f aca="false">IF(OR($B67="",$C67="",COUNTIF($D$4:$G$4,$B67)=0),"",IF($B67=K$4,$C67*정산!$C$4*(SUM($N67:$Q67)-Q67),-$C67*정산!$C$4*Q67))</f>
        <v/>
      </c>
      <c r="L67" s="26" t="str">
        <f aca="false">IF(AND($B67="",$C67=""),"",IF($B67="","승자 선택!",IF($C67="","점수 입력!",IF(COUNTIF($D$4:$G$4,$B67)=0,"승자 이름?",IF(COUNTIF(D67:G67,"쉼")&lt;&gt;1,"쉼 1명 표시!",IF(INDEX(D67:G67,MATCH($B67,$D$4:$G$4,0))="쉼","승자가 쉼?","✓"))))))</f>
        <v/>
      </c>
      <c r="M67" s="27"/>
      <c r="N67" s="21" t="n">
        <f aca="false">IF(D67="쉼",0,IF(D67="",1,IFERROR(VALUE(LEFT(D67,1)),1)))</f>
        <v>1</v>
      </c>
      <c r="O67" s="21" t="n">
        <f aca="false">IF(E67="쉼",0,IF(E67="",1,IFERROR(VALUE(LEFT(E67,1)),1)))</f>
        <v>1</v>
      </c>
      <c r="P67" s="21" t="n">
        <f aca="false">IF(F67="쉼",0,IF(F67="",1,IFERROR(VALUE(LEFT(F67,1)),1)))</f>
        <v>1</v>
      </c>
      <c r="Q67" s="21" t="n">
        <f aca="false">IF(G67="쉼",0,IF(G67="",1,IFERROR(VALUE(LEFT(G67,1)),1)))</f>
        <v>1</v>
      </c>
    </row>
    <row r="68" customFormat="false" ht="15" hidden="false" customHeight="false" outlineLevel="0" collapsed="false">
      <c r="A68" s="22" t="n">
        <v>64</v>
      </c>
      <c r="B68" s="23"/>
      <c r="C68" s="23"/>
      <c r="D68" s="24"/>
      <c r="E68" s="24"/>
      <c r="F68" s="24"/>
      <c r="G68" s="24"/>
      <c r="H68" s="25" t="str">
        <f aca="false">IF(OR($B68="",$C68="",COUNTIF($D$4:$G$4,$B68)=0),"",IF($B68=H$4,$C68*정산!$C$4*(SUM($N68:$Q68)-N68),-$C68*정산!$C$4*N68))</f>
        <v/>
      </c>
      <c r="I68" s="25" t="str">
        <f aca="false">IF(OR($B68="",$C68="",COUNTIF($D$4:$G$4,$B68)=0),"",IF($B68=I$4,$C68*정산!$C$4*(SUM($N68:$Q68)-O68),-$C68*정산!$C$4*O68))</f>
        <v/>
      </c>
      <c r="J68" s="25" t="str">
        <f aca="false">IF(OR($B68="",$C68="",COUNTIF($D$4:$G$4,$B68)=0),"",IF($B68=J$4,$C68*정산!$C$4*(SUM($N68:$Q68)-P68),-$C68*정산!$C$4*P68))</f>
        <v/>
      </c>
      <c r="K68" s="25" t="str">
        <f aca="false">IF(OR($B68="",$C68="",COUNTIF($D$4:$G$4,$B68)=0),"",IF($B68=K$4,$C68*정산!$C$4*(SUM($N68:$Q68)-Q68),-$C68*정산!$C$4*Q68))</f>
        <v/>
      </c>
      <c r="L68" s="26" t="str">
        <f aca="false">IF(AND($B68="",$C68=""),"",IF($B68="","승자 선택!",IF($C68="","점수 입력!",IF(COUNTIF($D$4:$G$4,$B68)=0,"승자 이름?",IF(COUNTIF(D68:G68,"쉼")&lt;&gt;1,"쉼 1명 표시!",IF(INDEX(D68:G68,MATCH($B68,$D$4:$G$4,0))="쉼","승자가 쉼?","✓"))))))</f>
        <v/>
      </c>
      <c r="M68" s="27"/>
      <c r="N68" s="21" t="n">
        <f aca="false">IF(D68="쉼",0,IF(D68="",1,IFERROR(VALUE(LEFT(D68,1)),1)))</f>
        <v>1</v>
      </c>
      <c r="O68" s="21" t="n">
        <f aca="false">IF(E68="쉼",0,IF(E68="",1,IFERROR(VALUE(LEFT(E68,1)),1)))</f>
        <v>1</v>
      </c>
      <c r="P68" s="21" t="n">
        <f aca="false">IF(F68="쉼",0,IF(F68="",1,IFERROR(VALUE(LEFT(F68,1)),1)))</f>
        <v>1</v>
      </c>
      <c r="Q68" s="21" t="n">
        <f aca="false">IF(G68="쉼",0,IF(G68="",1,IFERROR(VALUE(LEFT(G68,1)),1)))</f>
        <v>1</v>
      </c>
    </row>
    <row r="69" customFormat="false" ht="15" hidden="false" customHeight="false" outlineLevel="0" collapsed="false">
      <c r="A69" s="22" t="n">
        <v>65</v>
      </c>
      <c r="B69" s="23"/>
      <c r="C69" s="23"/>
      <c r="D69" s="24"/>
      <c r="E69" s="24"/>
      <c r="F69" s="24"/>
      <c r="G69" s="24"/>
      <c r="H69" s="25" t="str">
        <f aca="false">IF(OR($B69="",$C69="",COUNTIF($D$4:$G$4,$B69)=0),"",IF($B69=H$4,$C69*정산!$C$4*(SUM($N69:$Q69)-N69),-$C69*정산!$C$4*N69))</f>
        <v/>
      </c>
      <c r="I69" s="25" t="str">
        <f aca="false">IF(OR($B69="",$C69="",COUNTIF($D$4:$G$4,$B69)=0),"",IF($B69=I$4,$C69*정산!$C$4*(SUM($N69:$Q69)-O69),-$C69*정산!$C$4*O69))</f>
        <v/>
      </c>
      <c r="J69" s="25" t="str">
        <f aca="false">IF(OR($B69="",$C69="",COUNTIF($D$4:$G$4,$B69)=0),"",IF($B69=J$4,$C69*정산!$C$4*(SUM($N69:$Q69)-P69),-$C69*정산!$C$4*P69))</f>
        <v/>
      </c>
      <c r="K69" s="25" t="str">
        <f aca="false">IF(OR($B69="",$C69="",COUNTIF($D$4:$G$4,$B69)=0),"",IF($B69=K$4,$C69*정산!$C$4*(SUM($N69:$Q69)-Q69),-$C69*정산!$C$4*Q69))</f>
        <v/>
      </c>
      <c r="L69" s="26" t="str">
        <f aca="false">IF(AND($B69="",$C69=""),"",IF($B69="","승자 선택!",IF($C69="","점수 입력!",IF(COUNTIF($D$4:$G$4,$B69)=0,"승자 이름?",IF(COUNTIF(D69:G69,"쉼")&lt;&gt;1,"쉼 1명 표시!",IF(INDEX(D69:G69,MATCH($B69,$D$4:$G$4,0))="쉼","승자가 쉼?","✓"))))))</f>
        <v/>
      </c>
      <c r="M69" s="27"/>
      <c r="N69" s="21" t="n">
        <f aca="false">IF(D69="쉼",0,IF(D69="",1,IFERROR(VALUE(LEFT(D69,1)),1)))</f>
        <v>1</v>
      </c>
      <c r="O69" s="21" t="n">
        <f aca="false">IF(E69="쉼",0,IF(E69="",1,IFERROR(VALUE(LEFT(E69,1)),1)))</f>
        <v>1</v>
      </c>
      <c r="P69" s="21" t="n">
        <f aca="false">IF(F69="쉼",0,IF(F69="",1,IFERROR(VALUE(LEFT(F69,1)),1)))</f>
        <v>1</v>
      </c>
      <c r="Q69" s="21" t="n">
        <f aca="false">IF(G69="쉼",0,IF(G69="",1,IFERROR(VALUE(LEFT(G69,1)),1)))</f>
        <v>1</v>
      </c>
    </row>
    <row r="70" customFormat="false" ht="15" hidden="false" customHeight="false" outlineLevel="0" collapsed="false">
      <c r="A70" s="22" t="n">
        <v>66</v>
      </c>
      <c r="B70" s="23"/>
      <c r="C70" s="23"/>
      <c r="D70" s="24"/>
      <c r="E70" s="24"/>
      <c r="F70" s="24"/>
      <c r="G70" s="24"/>
      <c r="H70" s="25" t="str">
        <f aca="false">IF(OR($B70="",$C70="",COUNTIF($D$4:$G$4,$B70)=0),"",IF($B70=H$4,$C70*정산!$C$4*(SUM($N70:$Q70)-N70),-$C70*정산!$C$4*N70))</f>
        <v/>
      </c>
      <c r="I70" s="25" t="str">
        <f aca="false">IF(OR($B70="",$C70="",COUNTIF($D$4:$G$4,$B70)=0),"",IF($B70=I$4,$C70*정산!$C$4*(SUM($N70:$Q70)-O70),-$C70*정산!$C$4*O70))</f>
        <v/>
      </c>
      <c r="J70" s="25" t="str">
        <f aca="false">IF(OR($B70="",$C70="",COUNTIF($D$4:$G$4,$B70)=0),"",IF($B70=J$4,$C70*정산!$C$4*(SUM($N70:$Q70)-P70),-$C70*정산!$C$4*P70))</f>
        <v/>
      </c>
      <c r="K70" s="25" t="str">
        <f aca="false">IF(OR($B70="",$C70="",COUNTIF($D$4:$G$4,$B70)=0),"",IF($B70=K$4,$C70*정산!$C$4*(SUM($N70:$Q70)-Q70),-$C70*정산!$C$4*Q70))</f>
        <v/>
      </c>
      <c r="L70" s="26" t="str">
        <f aca="false">IF(AND($B70="",$C70=""),"",IF($B70="","승자 선택!",IF($C70="","점수 입력!",IF(COUNTIF($D$4:$G$4,$B70)=0,"승자 이름?",IF(COUNTIF(D70:G70,"쉼")&lt;&gt;1,"쉼 1명 표시!",IF(INDEX(D70:G70,MATCH($B70,$D$4:$G$4,0))="쉼","승자가 쉼?","✓"))))))</f>
        <v/>
      </c>
      <c r="M70" s="27"/>
      <c r="N70" s="21" t="n">
        <f aca="false">IF(D70="쉼",0,IF(D70="",1,IFERROR(VALUE(LEFT(D70,1)),1)))</f>
        <v>1</v>
      </c>
      <c r="O70" s="21" t="n">
        <f aca="false">IF(E70="쉼",0,IF(E70="",1,IFERROR(VALUE(LEFT(E70,1)),1)))</f>
        <v>1</v>
      </c>
      <c r="P70" s="21" t="n">
        <f aca="false">IF(F70="쉼",0,IF(F70="",1,IFERROR(VALUE(LEFT(F70,1)),1)))</f>
        <v>1</v>
      </c>
      <c r="Q70" s="21" t="n">
        <f aca="false">IF(G70="쉼",0,IF(G70="",1,IFERROR(VALUE(LEFT(G70,1)),1)))</f>
        <v>1</v>
      </c>
    </row>
    <row r="71" customFormat="false" ht="15" hidden="false" customHeight="false" outlineLevel="0" collapsed="false">
      <c r="A71" s="22" t="n">
        <v>67</v>
      </c>
      <c r="B71" s="23"/>
      <c r="C71" s="23"/>
      <c r="D71" s="24"/>
      <c r="E71" s="24"/>
      <c r="F71" s="24"/>
      <c r="G71" s="24"/>
      <c r="H71" s="25" t="str">
        <f aca="false">IF(OR($B71="",$C71="",COUNTIF($D$4:$G$4,$B71)=0),"",IF($B71=H$4,$C71*정산!$C$4*(SUM($N71:$Q71)-N71),-$C71*정산!$C$4*N71))</f>
        <v/>
      </c>
      <c r="I71" s="25" t="str">
        <f aca="false">IF(OR($B71="",$C71="",COUNTIF($D$4:$G$4,$B71)=0),"",IF($B71=I$4,$C71*정산!$C$4*(SUM($N71:$Q71)-O71),-$C71*정산!$C$4*O71))</f>
        <v/>
      </c>
      <c r="J71" s="25" t="str">
        <f aca="false">IF(OR($B71="",$C71="",COUNTIF($D$4:$G$4,$B71)=0),"",IF($B71=J$4,$C71*정산!$C$4*(SUM($N71:$Q71)-P71),-$C71*정산!$C$4*P71))</f>
        <v/>
      </c>
      <c r="K71" s="25" t="str">
        <f aca="false">IF(OR($B71="",$C71="",COUNTIF($D$4:$G$4,$B71)=0),"",IF($B71=K$4,$C71*정산!$C$4*(SUM($N71:$Q71)-Q71),-$C71*정산!$C$4*Q71))</f>
        <v/>
      </c>
      <c r="L71" s="26" t="str">
        <f aca="false">IF(AND($B71="",$C71=""),"",IF($B71="","승자 선택!",IF($C71="","점수 입력!",IF(COUNTIF($D$4:$G$4,$B71)=0,"승자 이름?",IF(COUNTIF(D71:G71,"쉼")&lt;&gt;1,"쉼 1명 표시!",IF(INDEX(D71:G71,MATCH($B71,$D$4:$G$4,0))="쉼","승자가 쉼?","✓"))))))</f>
        <v/>
      </c>
      <c r="M71" s="27"/>
      <c r="N71" s="21" t="n">
        <f aca="false">IF(D71="쉼",0,IF(D71="",1,IFERROR(VALUE(LEFT(D71,1)),1)))</f>
        <v>1</v>
      </c>
      <c r="O71" s="21" t="n">
        <f aca="false">IF(E71="쉼",0,IF(E71="",1,IFERROR(VALUE(LEFT(E71,1)),1)))</f>
        <v>1</v>
      </c>
      <c r="P71" s="21" t="n">
        <f aca="false">IF(F71="쉼",0,IF(F71="",1,IFERROR(VALUE(LEFT(F71,1)),1)))</f>
        <v>1</v>
      </c>
      <c r="Q71" s="21" t="n">
        <f aca="false">IF(G71="쉼",0,IF(G71="",1,IFERROR(VALUE(LEFT(G71,1)),1)))</f>
        <v>1</v>
      </c>
    </row>
    <row r="72" customFormat="false" ht="15" hidden="false" customHeight="false" outlineLevel="0" collapsed="false">
      <c r="A72" s="22" t="n">
        <v>68</v>
      </c>
      <c r="B72" s="23"/>
      <c r="C72" s="23"/>
      <c r="D72" s="24"/>
      <c r="E72" s="24"/>
      <c r="F72" s="24"/>
      <c r="G72" s="24"/>
      <c r="H72" s="25" t="str">
        <f aca="false">IF(OR($B72="",$C72="",COUNTIF($D$4:$G$4,$B72)=0),"",IF($B72=H$4,$C72*정산!$C$4*(SUM($N72:$Q72)-N72),-$C72*정산!$C$4*N72))</f>
        <v/>
      </c>
      <c r="I72" s="25" t="str">
        <f aca="false">IF(OR($B72="",$C72="",COUNTIF($D$4:$G$4,$B72)=0),"",IF($B72=I$4,$C72*정산!$C$4*(SUM($N72:$Q72)-O72),-$C72*정산!$C$4*O72))</f>
        <v/>
      </c>
      <c r="J72" s="25" t="str">
        <f aca="false">IF(OR($B72="",$C72="",COUNTIF($D$4:$G$4,$B72)=0),"",IF($B72=J$4,$C72*정산!$C$4*(SUM($N72:$Q72)-P72),-$C72*정산!$C$4*P72))</f>
        <v/>
      </c>
      <c r="K72" s="25" t="str">
        <f aca="false">IF(OR($B72="",$C72="",COUNTIF($D$4:$G$4,$B72)=0),"",IF($B72=K$4,$C72*정산!$C$4*(SUM($N72:$Q72)-Q72),-$C72*정산!$C$4*Q72))</f>
        <v/>
      </c>
      <c r="L72" s="26" t="str">
        <f aca="false">IF(AND($B72="",$C72=""),"",IF($B72="","승자 선택!",IF($C72="","점수 입력!",IF(COUNTIF($D$4:$G$4,$B72)=0,"승자 이름?",IF(COUNTIF(D72:G72,"쉼")&lt;&gt;1,"쉼 1명 표시!",IF(INDEX(D72:G72,MATCH($B72,$D$4:$G$4,0))="쉼","승자가 쉼?","✓"))))))</f>
        <v/>
      </c>
      <c r="M72" s="27"/>
      <c r="N72" s="21" t="n">
        <f aca="false">IF(D72="쉼",0,IF(D72="",1,IFERROR(VALUE(LEFT(D72,1)),1)))</f>
        <v>1</v>
      </c>
      <c r="O72" s="21" t="n">
        <f aca="false">IF(E72="쉼",0,IF(E72="",1,IFERROR(VALUE(LEFT(E72,1)),1)))</f>
        <v>1</v>
      </c>
      <c r="P72" s="21" t="n">
        <f aca="false">IF(F72="쉼",0,IF(F72="",1,IFERROR(VALUE(LEFT(F72,1)),1)))</f>
        <v>1</v>
      </c>
      <c r="Q72" s="21" t="n">
        <f aca="false">IF(G72="쉼",0,IF(G72="",1,IFERROR(VALUE(LEFT(G72,1)),1)))</f>
        <v>1</v>
      </c>
    </row>
    <row r="73" customFormat="false" ht="15" hidden="false" customHeight="false" outlineLevel="0" collapsed="false">
      <c r="A73" s="22" t="n">
        <v>69</v>
      </c>
      <c r="B73" s="23"/>
      <c r="C73" s="23"/>
      <c r="D73" s="24"/>
      <c r="E73" s="24"/>
      <c r="F73" s="24"/>
      <c r="G73" s="24"/>
      <c r="H73" s="25" t="str">
        <f aca="false">IF(OR($B73="",$C73="",COUNTIF($D$4:$G$4,$B73)=0),"",IF($B73=H$4,$C73*정산!$C$4*(SUM($N73:$Q73)-N73),-$C73*정산!$C$4*N73))</f>
        <v/>
      </c>
      <c r="I73" s="25" t="str">
        <f aca="false">IF(OR($B73="",$C73="",COUNTIF($D$4:$G$4,$B73)=0),"",IF($B73=I$4,$C73*정산!$C$4*(SUM($N73:$Q73)-O73),-$C73*정산!$C$4*O73))</f>
        <v/>
      </c>
      <c r="J73" s="25" t="str">
        <f aca="false">IF(OR($B73="",$C73="",COUNTIF($D$4:$G$4,$B73)=0),"",IF($B73=J$4,$C73*정산!$C$4*(SUM($N73:$Q73)-P73),-$C73*정산!$C$4*P73))</f>
        <v/>
      </c>
      <c r="K73" s="25" t="str">
        <f aca="false">IF(OR($B73="",$C73="",COUNTIF($D$4:$G$4,$B73)=0),"",IF($B73=K$4,$C73*정산!$C$4*(SUM($N73:$Q73)-Q73),-$C73*정산!$C$4*Q73))</f>
        <v/>
      </c>
      <c r="L73" s="26" t="str">
        <f aca="false">IF(AND($B73="",$C73=""),"",IF($B73="","승자 선택!",IF($C73="","점수 입력!",IF(COUNTIF($D$4:$G$4,$B73)=0,"승자 이름?",IF(COUNTIF(D73:G73,"쉼")&lt;&gt;1,"쉼 1명 표시!",IF(INDEX(D73:G73,MATCH($B73,$D$4:$G$4,0))="쉼","승자가 쉼?","✓"))))))</f>
        <v/>
      </c>
      <c r="M73" s="27"/>
      <c r="N73" s="21" t="n">
        <f aca="false">IF(D73="쉼",0,IF(D73="",1,IFERROR(VALUE(LEFT(D73,1)),1)))</f>
        <v>1</v>
      </c>
      <c r="O73" s="21" t="n">
        <f aca="false">IF(E73="쉼",0,IF(E73="",1,IFERROR(VALUE(LEFT(E73,1)),1)))</f>
        <v>1</v>
      </c>
      <c r="P73" s="21" t="n">
        <f aca="false">IF(F73="쉼",0,IF(F73="",1,IFERROR(VALUE(LEFT(F73,1)),1)))</f>
        <v>1</v>
      </c>
      <c r="Q73" s="21" t="n">
        <f aca="false">IF(G73="쉼",0,IF(G73="",1,IFERROR(VALUE(LEFT(G73,1)),1)))</f>
        <v>1</v>
      </c>
    </row>
    <row r="74" customFormat="false" ht="15" hidden="false" customHeight="false" outlineLevel="0" collapsed="false">
      <c r="A74" s="22" t="n">
        <v>70</v>
      </c>
      <c r="B74" s="23"/>
      <c r="C74" s="23"/>
      <c r="D74" s="24"/>
      <c r="E74" s="24"/>
      <c r="F74" s="24"/>
      <c r="G74" s="24"/>
      <c r="H74" s="25" t="str">
        <f aca="false">IF(OR($B74="",$C74="",COUNTIF($D$4:$G$4,$B74)=0),"",IF($B74=H$4,$C74*정산!$C$4*(SUM($N74:$Q74)-N74),-$C74*정산!$C$4*N74))</f>
        <v/>
      </c>
      <c r="I74" s="25" t="str">
        <f aca="false">IF(OR($B74="",$C74="",COUNTIF($D$4:$G$4,$B74)=0),"",IF($B74=I$4,$C74*정산!$C$4*(SUM($N74:$Q74)-O74),-$C74*정산!$C$4*O74))</f>
        <v/>
      </c>
      <c r="J74" s="25" t="str">
        <f aca="false">IF(OR($B74="",$C74="",COUNTIF($D$4:$G$4,$B74)=0),"",IF($B74=J$4,$C74*정산!$C$4*(SUM($N74:$Q74)-P74),-$C74*정산!$C$4*P74))</f>
        <v/>
      </c>
      <c r="K74" s="25" t="str">
        <f aca="false">IF(OR($B74="",$C74="",COUNTIF($D$4:$G$4,$B74)=0),"",IF($B74=K$4,$C74*정산!$C$4*(SUM($N74:$Q74)-Q74),-$C74*정산!$C$4*Q74))</f>
        <v/>
      </c>
      <c r="L74" s="26" t="str">
        <f aca="false">IF(AND($B74="",$C74=""),"",IF($B74="","승자 선택!",IF($C74="","점수 입력!",IF(COUNTIF($D$4:$G$4,$B74)=0,"승자 이름?",IF(COUNTIF(D74:G74,"쉼")&lt;&gt;1,"쉼 1명 표시!",IF(INDEX(D74:G74,MATCH($B74,$D$4:$G$4,0))="쉼","승자가 쉼?","✓"))))))</f>
        <v/>
      </c>
      <c r="M74" s="27"/>
      <c r="N74" s="21" t="n">
        <f aca="false">IF(D74="쉼",0,IF(D74="",1,IFERROR(VALUE(LEFT(D74,1)),1)))</f>
        <v>1</v>
      </c>
      <c r="O74" s="21" t="n">
        <f aca="false">IF(E74="쉼",0,IF(E74="",1,IFERROR(VALUE(LEFT(E74,1)),1)))</f>
        <v>1</v>
      </c>
      <c r="P74" s="21" t="n">
        <f aca="false">IF(F74="쉼",0,IF(F74="",1,IFERROR(VALUE(LEFT(F74,1)),1)))</f>
        <v>1</v>
      </c>
      <c r="Q74" s="21" t="n">
        <f aca="false">IF(G74="쉼",0,IF(G74="",1,IFERROR(VALUE(LEFT(G74,1)),1)))</f>
        <v>1</v>
      </c>
    </row>
    <row r="75" customFormat="false" ht="15" hidden="false" customHeight="false" outlineLevel="0" collapsed="false">
      <c r="A75" s="22" t="n">
        <v>71</v>
      </c>
      <c r="B75" s="23"/>
      <c r="C75" s="23"/>
      <c r="D75" s="24"/>
      <c r="E75" s="24"/>
      <c r="F75" s="24"/>
      <c r="G75" s="24"/>
      <c r="H75" s="25" t="str">
        <f aca="false">IF(OR($B75="",$C75="",COUNTIF($D$4:$G$4,$B75)=0),"",IF($B75=H$4,$C75*정산!$C$4*(SUM($N75:$Q75)-N75),-$C75*정산!$C$4*N75))</f>
        <v/>
      </c>
      <c r="I75" s="25" t="str">
        <f aca="false">IF(OR($B75="",$C75="",COUNTIF($D$4:$G$4,$B75)=0),"",IF($B75=I$4,$C75*정산!$C$4*(SUM($N75:$Q75)-O75),-$C75*정산!$C$4*O75))</f>
        <v/>
      </c>
      <c r="J75" s="25" t="str">
        <f aca="false">IF(OR($B75="",$C75="",COUNTIF($D$4:$G$4,$B75)=0),"",IF($B75=J$4,$C75*정산!$C$4*(SUM($N75:$Q75)-P75),-$C75*정산!$C$4*P75))</f>
        <v/>
      </c>
      <c r="K75" s="25" t="str">
        <f aca="false">IF(OR($B75="",$C75="",COUNTIF($D$4:$G$4,$B75)=0),"",IF($B75=K$4,$C75*정산!$C$4*(SUM($N75:$Q75)-Q75),-$C75*정산!$C$4*Q75))</f>
        <v/>
      </c>
      <c r="L75" s="26" t="str">
        <f aca="false">IF(AND($B75="",$C75=""),"",IF($B75="","승자 선택!",IF($C75="","점수 입력!",IF(COUNTIF($D$4:$G$4,$B75)=0,"승자 이름?",IF(COUNTIF(D75:G75,"쉼")&lt;&gt;1,"쉼 1명 표시!",IF(INDEX(D75:G75,MATCH($B75,$D$4:$G$4,0))="쉼","승자가 쉼?","✓"))))))</f>
        <v/>
      </c>
      <c r="M75" s="27"/>
      <c r="N75" s="21" t="n">
        <f aca="false">IF(D75="쉼",0,IF(D75="",1,IFERROR(VALUE(LEFT(D75,1)),1)))</f>
        <v>1</v>
      </c>
      <c r="O75" s="21" t="n">
        <f aca="false">IF(E75="쉼",0,IF(E75="",1,IFERROR(VALUE(LEFT(E75,1)),1)))</f>
        <v>1</v>
      </c>
      <c r="P75" s="21" t="n">
        <f aca="false">IF(F75="쉼",0,IF(F75="",1,IFERROR(VALUE(LEFT(F75,1)),1)))</f>
        <v>1</v>
      </c>
      <c r="Q75" s="21" t="n">
        <f aca="false">IF(G75="쉼",0,IF(G75="",1,IFERROR(VALUE(LEFT(G75,1)),1)))</f>
        <v>1</v>
      </c>
    </row>
    <row r="76" customFormat="false" ht="15" hidden="false" customHeight="false" outlineLevel="0" collapsed="false">
      <c r="A76" s="22" t="n">
        <v>72</v>
      </c>
      <c r="B76" s="23"/>
      <c r="C76" s="23"/>
      <c r="D76" s="24"/>
      <c r="E76" s="24"/>
      <c r="F76" s="24"/>
      <c r="G76" s="24"/>
      <c r="H76" s="25" t="str">
        <f aca="false">IF(OR($B76="",$C76="",COUNTIF($D$4:$G$4,$B76)=0),"",IF($B76=H$4,$C76*정산!$C$4*(SUM($N76:$Q76)-N76),-$C76*정산!$C$4*N76))</f>
        <v/>
      </c>
      <c r="I76" s="25" t="str">
        <f aca="false">IF(OR($B76="",$C76="",COUNTIF($D$4:$G$4,$B76)=0),"",IF($B76=I$4,$C76*정산!$C$4*(SUM($N76:$Q76)-O76),-$C76*정산!$C$4*O76))</f>
        <v/>
      </c>
      <c r="J76" s="25" t="str">
        <f aca="false">IF(OR($B76="",$C76="",COUNTIF($D$4:$G$4,$B76)=0),"",IF($B76=J$4,$C76*정산!$C$4*(SUM($N76:$Q76)-P76),-$C76*정산!$C$4*P76))</f>
        <v/>
      </c>
      <c r="K76" s="25" t="str">
        <f aca="false">IF(OR($B76="",$C76="",COUNTIF($D$4:$G$4,$B76)=0),"",IF($B76=K$4,$C76*정산!$C$4*(SUM($N76:$Q76)-Q76),-$C76*정산!$C$4*Q76))</f>
        <v/>
      </c>
      <c r="L76" s="26" t="str">
        <f aca="false">IF(AND($B76="",$C76=""),"",IF($B76="","승자 선택!",IF($C76="","점수 입력!",IF(COUNTIF($D$4:$G$4,$B76)=0,"승자 이름?",IF(COUNTIF(D76:G76,"쉼")&lt;&gt;1,"쉼 1명 표시!",IF(INDEX(D76:G76,MATCH($B76,$D$4:$G$4,0))="쉼","승자가 쉼?","✓"))))))</f>
        <v/>
      </c>
      <c r="M76" s="27"/>
      <c r="N76" s="21" t="n">
        <f aca="false">IF(D76="쉼",0,IF(D76="",1,IFERROR(VALUE(LEFT(D76,1)),1)))</f>
        <v>1</v>
      </c>
      <c r="O76" s="21" t="n">
        <f aca="false">IF(E76="쉼",0,IF(E76="",1,IFERROR(VALUE(LEFT(E76,1)),1)))</f>
        <v>1</v>
      </c>
      <c r="P76" s="21" t="n">
        <f aca="false">IF(F76="쉼",0,IF(F76="",1,IFERROR(VALUE(LEFT(F76,1)),1)))</f>
        <v>1</v>
      </c>
      <c r="Q76" s="21" t="n">
        <f aca="false">IF(G76="쉼",0,IF(G76="",1,IFERROR(VALUE(LEFT(G76,1)),1)))</f>
        <v>1</v>
      </c>
    </row>
    <row r="77" customFormat="false" ht="15" hidden="false" customHeight="false" outlineLevel="0" collapsed="false">
      <c r="A77" s="22" t="n">
        <v>73</v>
      </c>
      <c r="B77" s="23"/>
      <c r="C77" s="23"/>
      <c r="D77" s="24"/>
      <c r="E77" s="24"/>
      <c r="F77" s="24"/>
      <c r="G77" s="24"/>
      <c r="H77" s="25" t="str">
        <f aca="false">IF(OR($B77="",$C77="",COUNTIF($D$4:$G$4,$B77)=0),"",IF($B77=H$4,$C77*정산!$C$4*(SUM($N77:$Q77)-N77),-$C77*정산!$C$4*N77))</f>
        <v/>
      </c>
      <c r="I77" s="25" t="str">
        <f aca="false">IF(OR($B77="",$C77="",COUNTIF($D$4:$G$4,$B77)=0),"",IF($B77=I$4,$C77*정산!$C$4*(SUM($N77:$Q77)-O77),-$C77*정산!$C$4*O77))</f>
        <v/>
      </c>
      <c r="J77" s="25" t="str">
        <f aca="false">IF(OR($B77="",$C77="",COUNTIF($D$4:$G$4,$B77)=0),"",IF($B77=J$4,$C77*정산!$C$4*(SUM($N77:$Q77)-P77),-$C77*정산!$C$4*P77))</f>
        <v/>
      </c>
      <c r="K77" s="25" t="str">
        <f aca="false">IF(OR($B77="",$C77="",COUNTIF($D$4:$G$4,$B77)=0),"",IF($B77=K$4,$C77*정산!$C$4*(SUM($N77:$Q77)-Q77),-$C77*정산!$C$4*Q77))</f>
        <v/>
      </c>
      <c r="L77" s="26" t="str">
        <f aca="false">IF(AND($B77="",$C77=""),"",IF($B77="","승자 선택!",IF($C77="","점수 입력!",IF(COUNTIF($D$4:$G$4,$B77)=0,"승자 이름?",IF(COUNTIF(D77:G77,"쉼")&lt;&gt;1,"쉼 1명 표시!",IF(INDEX(D77:G77,MATCH($B77,$D$4:$G$4,0))="쉼","승자가 쉼?","✓"))))))</f>
        <v/>
      </c>
      <c r="M77" s="27"/>
      <c r="N77" s="21" t="n">
        <f aca="false">IF(D77="쉼",0,IF(D77="",1,IFERROR(VALUE(LEFT(D77,1)),1)))</f>
        <v>1</v>
      </c>
      <c r="O77" s="21" t="n">
        <f aca="false">IF(E77="쉼",0,IF(E77="",1,IFERROR(VALUE(LEFT(E77,1)),1)))</f>
        <v>1</v>
      </c>
      <c r="P77" s="21" t="n">
        <f aca="false">IF(F77="쉼",0,IF(F77="",1,IFERROR(VALUE(LEFT(F77,1)),1)))</f>
        <v>1</v>
      </c>
      <c r="Q77" s="21" t="n">
        <f aca="false">IF(G77="쉼",0,IF(G77="",1,IFERROR(VALUE(LEFT(G77,1)),1)))</f>
        <v>1</v>
      </c>
    </row>
    <row r="78" customFormat="false" ht="15" hidden="false" customHeight="false" outlineLevel="0" collapsed="false">
      <c r="A78" s="22" t="n">
        <v>74</v>
      </c>
      <c r="B78" s="23"/>
      <c r="C78" s="23"/>
      <c r="D78" s="24"/>
      <c r="E78" s="24"/>
      <c r="F78" s="24"/>
      <c r="G78" s="24"/>
      <c r="H78" s="25" t="str">
        <f aca="false">IF(OR($B78="",$C78="",COUNTIF($D$4:$G$4,$B78)=0),"",IF($B78=H$4,$C78*정산!$C$4*(SUM($N78:$Q78)-N78),-$C78*정산!$C$4*N78))</f>
        <v/>
      </c>
      <c r="I78" s="25" t="str">
        <f aca="false">IF(OR($B78="",$C78="",COUNTIF($D$4:$G$4,$B78)=0),"",IF($B78=I$4,$C78*정산!$C$4*(SUM($N78:$Q78)-O78),-$C78*정산!$C$4*O78))</f>
        <v/>
      </c>
      <c r="J78" s="25" t="str">
        <f aca="false">IF(OR($B78="",$C78="",COUNTIF($D$4:$G$4,$B78)=0),"",IF($B78=J$4,$C78*정산!$C$4*(SUM($N78:$Q78)-P78),-$C78*정산!$C$4*P78))</f>
        <v/>
      </c>
      <c r="K78" s="25" t="str">
        <f aca="false">IF(OR($B78="",$C78="",COUNTIF($D$4:$G$4,$B78)=0),"",IF($B78=K$4,$C78*정산!$C$4*(SUM($N78:$Q78)-Q78),-$C78*정산!$C$4*Q78))</f>
        <v/>
      </c>
      <c r="L78" s="26" t="str">
        <f aca="false">IF(AND($B78="",$C78=""),"",IF($B78="","승자 선택!",IF($C78="","점수 입력!",IF(COUNTIF($D$4:$G$4,$B78)=0,"승자 이름?",IF(COUNTIF(D78:G78,"쉼")&lt;&gt;1,"쉼 1명 표시!",IF(INDEX(D78:G78,MATCH($B78,$D$4:$G$4,0))="쉼","승자가 쉼?","✓"))))))</f>
        <v/>
      </c>
      <c r="M78" s="27"/>
      <c r="N78" s="21" t="n">
        <f aca="false">IF(D78="쉼",0,IF(D78="",1,IFERROR(VALUE(LEFT(D78,1)),1)))</f>
        <v>1</v>
      </c>
      <c r="O78" s="21" t="n">
        <f aca="false">IF(E78="쉼",0,IF(E78="",1,IFERROR(VALUE(LEFT(E78,1)),1)))</f>
        <v>1</v>
      </c>
      <c r="P78" s="21" t="n">
        <f aca="false">IF(F78="쉼",0,IF(F78="",1,IFERROR(VALUE(LEFT(F78,1)),1)))</f>
        <v>1</v>
      </c>
      <c r="Q78" s="21" t="n">
        <f aca="false">IF(G78="쉼",0,IF(G78="",1,IFERROR(VALUE(LEFT(G78,1)),1)))</f>
        <v>1</v>
      </c>
    </row>
    <row r="79" customFormat="false" ht="15" hidden="false" customHeight="false" outlineLevel="0" collapsed="false">
      <c r="A79" s="22" t="n">
        <v>75</v>
      </c>
      <c r="B79" s="23"/>
      <c r="C79" s="23"/>
      <c r="D79" s="24"/>
      <c r="E79" s="24"/>
      <c r="F79" s="24"/>
      <c r="G79" s="24"/>
      <c r="H79" s="25" t="str">
        <f aca="false">IF(OR($B79="",$C79="",COUNTIF($D$4:$G$4,$B79)=0),"",IF($B79=H$4,$C79*정산!$C$4*(SUM($N79:$Q79)-N79),-$C79*정산!$C$4*N79))</f>
        <v/>
      </c>
      <c r="I79" s="25" t="str">
        <f aca="false">IF(OR($B79="",$C79="",COUNTIF($D$4:$G$4,$B79)=0),"",IF($B79=I$4,$C79*정산!$C$4*(SUM($N79:$Q79)-O79),-$C79*정산!$C$4*O79))</f>
        <v/>
      </c>
      <c r="J79" s="25" t="str">
        <f aca="false">IF(OR($B79="",$C79="",COUNTIF($D$4:$G$4,$B79)=0),"",IF($B79=J$4,$C79*정산!$C$4*(SUM($N79:$Q79)-P79),-$C79*정산!$C$4*P79))</f>
        <v/>
      </c>
      <c r="K79" s="25" t="str">
        <f aca="false">IF(OR($B79="",$C79="",COUNTIF($D$4:$G$4,$B79)=0),"",IF($B79=K$4,$C79*정산!$C$4*(SUM($N79:$Q79)-Q79),-$C79*정산!$C$4*Q79))</f>
        <v/>
      </c>
      <c r="L79" s="26" t="str">
        <f aca="false">IF(AND($B79="",$C79=""),"",IF($B79="","승자 선택!",IF($C79="","점수 입력!",IF(COUNTIF($D$4:$G$4,$B79)=0,"승자 이름?",IF(COUNTIF(D79:G79,"쉼")&lt;&gt;1,"쉼 1명 표시!",IF(INDEX(D79:G79,MATCH($B79,$D$4:$G$4,0))="쉼","승자가 쉼?","✓"))))))</f>
        <v/>
      </c>
      <c r="M79" s="27"/>
      <c r="N79" s="21" t="n">
        <f aca="false">IF(D79="쉼",0,IF(D79="",1,IFERROR(VALUE(LEFT(D79,1)),1)))</f>
        <v>1</v>
      </c>
      <c r="O79" s="21" t="n">
        <f aca="false">IF(E79="쉼",0,IF(E79="",1,IFERROR(VALUE(LEFT(E79,1)),1)))</f>
        <v>1</v>
      </c>
      <c r="P79" s="21" t="n">
        <f aca="false">IF(F79="쉼",0,IF(F79="",1,IFERROR(VALUE(LEFT(F79,1)),1)))</f>
        <v>1</v>
      </c>
      <c r="Q79" s="21" t="n">
        <f aca="false">IF(G79="쉼",0,IF(G79="",1,IFERROR(VALUE(LEFT(G79,1)),1)))</f>
        <v>1</v>
      </c>
    </row>
    <row r="80" customFormat="false" ht="15" hidden="false" customHeight="false" outlineLevel="0" collapsed="false">
      <c r="A80" s="22" t="n">
        <v>76</v>
      </c>
      <c r="B80" s="23"/>
      <c r="C80" s="23"/>
      <c r="D80" s="24"/>
      <c r="E80" s="24"/>
      <c r="F80" s="24"/>
      <c r="G80" s="24"/>
      <c r="H80" s="25" t="str">
        <f aca="false">IF(OR($B80="",$C80="",COUNTIF($D$4:$G$4,$B80)=0),"",IF($B80=H$4,$C80*정산!$C$4*(SUM($N80:$Q80)-N80),-$C80*정산!$C$4*N80))</f>
        <v/>
      </c>
      <c r="I80" s="25" t="str">
        <f aca="false">IF(OR($B80="",$C80="",COUNTIF($D$4:$G$4,$B80)=0),"",IF($B80=I$4,$C80*정산!$C$4*(SUM($N80:$Q80)-O80),-$C80*정산!$C$4*O80))</f>
        <v/>
      </c>
      <c r="J80" s="25" t="str">
        <f aca="false">IF(OR($B80="",$C80="",COUNTIF($D$4:$G$4,$B80)=0),"",IF($B80=J$4,$C80*정산!$C$4*(SUM($N80:$Q80)-P80),-$C80*정산!$C$4*P80))</f>
        <v/>
      </c>
      <c r="K80" s="25" t="str">
        <f aca="false">IF(OR($B80="",$C80="",COUNTIF($D$4:$G$4,$B80)=0),"",IF($B80=K$4,$C80*정산!$C$4*(SUM($N80:$Q80)-Q80),-$C80*정산!$C$4*Q80))</f>
        <v/>
      </c>
      <c r="L80" s="26" t="str">
        <f aca="false">IF(AND($B80="",$C80=""),"",IF($B80="","승자 선택!",IF($C80="","점수 입력!",IF(COUNTIF($D$4:$G$4,$B80)=0,"승자 이름?",IF(COUNTIF(D80:G80,"쉼")&lt;&gt;1,"쉼 1명 표시!",IF(INDEX(D80:G80,MATCH($B80,$D$4:$G$4,0))="쉼","승자가 쉼?","✓"))))))</f>
        <v/>
      </c>
      <c r="M80" s="27"/>
      <c r="N80" s="21" t="n">
        <f aca="false">IF(D80="쉼",0,IF(D80="",1,IFERROR(VALUE(LEFT(D80,1)),1)))</f>
        <v>1</v>
      </c>
      <c r="O80" s="21" t="n">
        <f aca="false">IF(E80="쉼",0,IF(E80="",1,IFERROR(VALUE(LEFT(E80,1)),1)))</f>
        <v>1</v>
      </c>
      <c r="P80" s="21" t="n">
        <f aca="false">IF(F80="쉼",0,IF(F80="",1,IFERROR(VALUE(LEFT(F80,1)),1)))</f>
        <v>1</v>
      </c>
      <c r="Q80" s="21" t="n">
        <f aca="false">IF(G80="쉼",0,IF(G80="",1,IFERROR(VALUE(LEFT(G80,1)),1)))</f>
        <v>1</v>
      </c>
    </row>
    <row r="81" customFormat="false" ht="15" hidden="false" customHeight="false" outlineLevel="0" collapsed="false">
      <c r="A81" s="22" t="n">
        <v>77</v>
      </c>
      <c r="B81" s="23"/>
      <c r="C81" s="23"/>
      <c r="D81" s="24"/>
      <c r="E81" s="24"/>
      <c r="F81" s="24"/>
      <c r="G81" s="24"/>
      <c r="H81" s="25" t="str">
        <f aca="false">IF(OR($B81="",$C81="",COUNTIF($D$4:$G$4,$B81)=0),"",IF($B81=H$4,$C81*정산!$C$4*(SUM($N81:$Q81)-N81),-$C81*정산!$C$4*N81))</f>
        <v/>
      </c>
      <c r="I81" s="25" t="str">
        <f aca="false">IF(OR($B81="",$C81="",COUNTIF($D$4:$G$4,$B81)=0),"",IF($B81=I$4,$C81*정산!$C$4*(SUM($N81:$Q81)-O81),-$C81*정산!$C$4*O81))</f>
        <v/>
      </c>
      <c r="J81" s="25" t="str">
        <f aca="false">IF(OR($B81="",$C81="",COUNTIF($D$4:$G$4,$B81)=0),"",IF($B81=J$4,$C81*정산!$C$4*(SUM($N81:$Q81)-P81),-$C81*정산!$C$4*P81))</f>
        <v/>
      </c>
      <c r="K81" s="25" t="str">
        <f aca="false">IF(OR($B81="",$C81="",COUNTIF($D$4:$G$4,$B81)=0),"",IF($B81=K$4,$C81*정산!$C$4*(SUM($N81:$Q81)-Q81),-$C81*정산!$C$4*Q81))</f>
        <v/>
      </c>
      <c r="L81" s="26" t="str">
        <f aca="false">IF(AND($B81="",$C81=""),"",IF($B81="","승자 선택!",IF($C81="","점수 입력!",IF(COUNTIF($D$4:$G$4,$B81)=0,"승자 이름?",IF(COUNTIF(D81:G81,"쉼")&lt;&gt;1,"쉼 1명 표시!",IF(INDEX(D81:G81,MATCH($B81,$D$4:$G$4,0))="쉼","승자가 쉼?","✓"))))))</f>
        <v/>
      </c>
      <c r="M81" s="27"/>
      <c r="N81" s="21" t="n">
        <f aca="false">IF(D81="쉼",0,IF(D81="",1,IFERROR(VALUE(LEFT(D81,1)),1)))</f>
        <v>1</v>
      </c>
      <c r="O81" s="21" t="n">
        <f aca="false">IF(E81="쉼",0,IF(E81="",1,IFERROR(VALUE(LEFT(E81,1)),1)))</f>
        <v>1</v>
      </c>
      <c r="P81" s="21" t="n">
        <f aca="false">IF(F81="쉼",0,IF(F81="",1,IFERROR(VALUE(LEFT(F81,1)),1)))</f>
        <v>1</v>
      </c>
      <c r="Q81" s="21" t="n">
        <f aca="false">IF(G81="쉼",0,IF(G81="",1,IFERROR(VALUE(LEFT(G81,1)),1)))</f>
        <v>1</v>
      </c>
    </row>
    <row r="82" customFormat="false" ht="15" hidden="false" customHeight="false" outlineLevel="0" collapsed="false">
      <c r="A82" s="22" t="n">
        <v>78</v>
      </c>
      <c r="B82" s="23"/>
      <c r="C82" s="23"/>
      <c r="D82" s="24"/>
      <c r="E82" s="24"/>
      <c r="F82" s="24"/>
      <c r="G82" s="24"/>
      <c r="H82" s="25" t="str">
        <f aca="false">IF(OR($B82="",$C82="",COUNTIF($D$4:$G$4,$B82)=0),"",IF($B82=H$4,$C82*정산!$C$4*(SUM($N82:$Q82)-N82),-$C82*정산!$C$4*N82))</f>
        <v/>
      </c>
      <c r="I82" s="25" t="str">
        <f aca="false">IF(OR($B82="",$C82="",COUNTIF($D$4:$G$4,$B82)=0),"",IF($B82=I$4,$C82*정산!$C$4*(SUM($N82:$Q82)-O82),-$C82*정산!$C$4*O82))</f>
        <v/>
      </c>
      <c r="J82" s="25" t="str">
        <f aca="false">IF(OR($B82="",$C82="",COUNTIF($D$4:$G$4,$B82)=0),"",IF($B82=J$4,$C82*정산!$C$4*(SUM($N82:$Q82)-P82),-$C82*정산!$C$4*P82))</f>
        <v/>
      </c>
      <c r="K82" s="25" t="str">
        <f aca="false">IF(OR($B82="",$C82="",COUNTIF($D$4:$G$4,$B82)=0),"",IF($B82=K$4,$C82*정산!$C$4*(SUM($N82:$Q82)-Q82),-$C82*정산!$C$4*Q82))</f>
        <v/>
      </c>
      <c r="L82" s="26" t="str">
        <f aca="false">IF(AND($B82="",$C82=""),"",IF($B82="","승자 선택!",IF($C82="","점수 입력!",IF(COUNTIF($D$4:$G$4,$B82)=0,"승자 이름?",IF(COUNTIF(D82:G82,"쉼")&lt;&gt;1,"쉼 1명 표시!",IF(INDEX(D82:G82,MATCH($B82,$D$4:$G$4,0))="쉼","승자가 쉼?","✓"))))))</f>
        <v/>
      </c>
      <c r="M82" s="27"/>
      <c r="N82" s="21" t="n">
        <f aca="false">IF(D82="쉼",0,IF(D82="",1,IFERROR(VALUE(LEFT(D82,1)),1)))</f>
        <v>1</v>
      </c>
      <c r="O82" s="21" t="n">
        <f aca="false">IF(E82="쉼",0,IF(E82="",1,IFERROR(VALUE(LEFT(E82,1)),1)))</f>
        <v>1</v>
      </c>
      <c r="P82" s="21" t="n">
        <f aca="false">IF(F82="쉼",0,IF(F82="",1,IFERROR(VALUE(LEFT(F82,1)),1)))</f>
        <v>1</v>
      </c>
      <c r="Q82" s="21" t="n">
        <f aca="false">IF(G82="쉼",0,IF(G82="",1,IFERROR(VALUE(LEFT(G82,1)),1)))</f>
        <v>1</v>
      </c>
    </row>
    <row r="83" customFormat="false" ht="15" hidden="false" customHeight="false" outlineLevel="0" collapsed="false">
      <c r="A83" s="22" t="n">
        <v>79</v>
      </c>
      <c r="B83" s="23"/>
      <c r="C83" s="23"/>
      <c r="D83" s="24"/>
      <c r="E83" s="24"/>
      <c r="F83" s="24"/>
      <c r="G83" s="24"/>
      <c r="H83" s="25" t="str">
        <f aca="false">IF(OR($B83="",$C83="",COUNTIF($D$4:$G$4,$B83)=0),"",IF($B83=H$4,$C83*정산!$C$4*(SUM($N83:$Q83)-N83),-$C83*정산!$C$4*N83))</f>
        <v/>
      </c>
      <c r="I83" s="25" t="str">
        <f aca="false">IF(OR($B83="",$C83="",COUNTIF($D$4:$G$4,$B83)=0),"",IF($B83=I$4,$C83*정산!$C$4*(SUM($N83:$Q83)-O83),-$C83*정산!$C$4*O83))</f>
        <v/>
      </c>
      <c r="J83" s="25" t="str">
        <f aca="false">IF(OR($B83="",$C83="",COUNTIF($D$4:$G$4,$B83)=0),"",IF($B83=J$4,$C83*정산!$C$4*(SUM($N83:$Q83)-P83),-$C83*정산!$C$4*P83))</f>
        <v/>
      </c>
      <c r="K83" s="25" t="str">
        <f aca="false">IF(OR($B83="",$C83="",COUNTIF($D$4:$G$4,$B83)=0),"",IF($B83=K$4,$C83*정산!$C$4*(SUM($N83:$Q83)-Q83),-$C83*정산!$C$4*Q83))</f>
        <v/>
      </c>
      <c r="L83" s="26" t="str">
        <f aca="false">IF(AND($B83="",$C83=""),"",IF($B83="","승자 선택!",IF($C83="","점수 입력!",IF(COUNTIF($D$4:$G$4,$B83)=0,"승자 이름?",IF(COUNTIF(D83:G83,"쉼")&lt;&gt;1,"쉼 1명 표시!",IF(INDEX(D83:G83,MATCH($B83,$D$4:$G$4,0))="쉼","승자가 쉼?","✓"))))))</f>
        <v/>
      </c>
      <c r="M83" s="27"/>
      <c r="N83" s="21" t="n">
        <f aca="false">IF(D83="쉼",0,IF(D83="",1,IFERROR(VALUE(LEFT(D83,1)),1)))</f>
        <v>1</v>
      </c>
      <c r="O83" s="21" t="n">
        <f aca="false">IF(E83="쉼",0,IF(E83="",1,IFERROR(VALUE(LEFT(E83,1)),1)))</f>
        <v>1</v>
      </c>
      <c r="P83" s="21" t="n">
        <f aca="false">IF(F83="쉼",0,IF(F83="",1,IFERROR(VALUE(LEFT(F83,1)),1)))</f>
        <v>1</v>
      </c>
      <c r="Q83" s="21" t="n">
        <f aca="false">IF(G83="쉼",0,IF(G83="",1,IFERROR(VALUE(LEFT(G83,1)),1)))</f>
        <v>1</v>
      </c>
    </row>
    <row r="84" customFormat="false" ht="15" hidden="false" customHeight="false" outlineLevel="0" collapsed="false">
      <c r="A84" s="22" t="n">
        <v>80</v>
      </c>
      <c r="B84" s="23"/>
      <c r="C84" s="23"/>
      <c r="D84" s="24"/>
      <c r="E84" s="24"/>
      <c r="F84" s="24"/>
      <c r="G84" s="24"/>
      <c r="H84" s="25" t="str">
        <f aca="false">IF(OR($B84="",$C84="",COUNTIF($D$4:$G$4,$B84)=0),"",IF($B84=H$4,$C84*정산!$C$4*(SUM($N84:$Q84)-N84),-$C84*정산!$C$4*N84))</f>
        <v/>
      </c>
      <c r="I84" s="25" t="str">
        <f aca="false">IF(OR($B84="",$C84="",COUNTIF($D$4:$G$4,$B84)=0),"",IF($B84=I$4,$C84*정산!$C$4*(SUM($N84:$Q84)-O84),-$C84*정산!$C$4*O84))</f>
        <v/>
      </c>
      <c r="J84" s="25" t="str">
        <f aca="false">IF(OR($B84="",$C84="",COUNTIF($D$4:$G$4,$B84)=0),"",IF($B84=J$4,$C84*정산!$C$4*(SUM($N84:$Q84)-P84),-$C84*정산!$C$4*P84))</f>
        <v/>
      </c>
      <c r="K84" s="25" t="str">
        <f aca="false">IF(OR($B84="",$C84="",COUNTIF($D$4:$G$4,$B84)=0),"",IF($B84=K$4,$C84*정산!$C$4*(SUM($N84:$Q84)-Q84),-$C84*정산!$C$4*Q84))</f>
        <v/>
      </c>
      <c r="L84" s="26" t="str">
        <f aca="false">IF(AND($B84="",$C84=""),"",IF($B84="","승자 선택!",IF($C84="","점수 입력!",IF(COUNTIF($D$4:$G$4,$B84)=0,"승자 이름?",IF(COUNTIF(D84:G84,"쉼")&lt;&gt;1,"쉼 1명 표시!",IF(INDEX(D84:G84,MATCH($B84,$D$4:$G$4,0))="쉼","승자가 쉼?","✓"))))))</f>
        <v/>
      </c>
      <c r="M84" s="27"/>
      <c r="N84" s="21" t="n">
        <f aca="false">IF(D84="쉼",0,IF(D84="",1,IFERROR(VALUE(LEFT(D84,1)),1)))</f>
        <v>1</v>
      </c>
      <c r="O84" s="21" t="n">
        <f aca="false">IF(E84="쉼",0,IF(E84="",1,IFERROR(VALUE(LEFT(E84,1)),1)))</f>
        <v>1</v>
      </c>
      <c r="P84" s="21" t="n">
        <f aca="false">IF(F84="쉼",0,IF(F84="",1,IFERROR(VALUE(LEFT(F84,1)),1)))</f>
        <v>1</v>
      </c>
      <c r="Q84" s="21" t="n">
        <f aca="false">IF(G84="쉼",0,IF(G84="",1,IFERROR(VALUE(LEFT(G84,1)),1)))</f>
        <v>1</v>
      </c>
    </row>
    <row r="85" customFormat="false" ht="15" hidden="false" customHeight="false" outlineLevel="0" collapsed="false">
      <c r="A85" s="22" t="n">
        <v>81</v>
      </c>
      <c r="B85" s="23"/>
      <c r="C85" s="23"/>
      <c r="D85" s="24"/>
      <c r="E85" s="24"/>
      <c r="F85" s="24"/>
      <c r="G85" s="24"/>
      <c r="H85" s="25" t="str">
        <f aca="false">IF(OR($B85="",$C85="",COUNTIF($D$4:$G$4,$B85)=0),"",IF($B85=H$4,$C85*정산!$C$4*(SUM($N85:$Q85)-N85),-$C85*정산!$C$4*N85))</f>
        <v/>
      </c>
      <c r="I85" s="25" t="str">
        <f aca="false">IF(OR($B85="",$C85="",COUNTIF($D$4:$G$4,$B85)=0),"",IF($B85=I$4,$C85*정산!$C$4*(SUM($N85:$Q85)-O85),-$C85*정산!$C$4*O85))</f>
        <v/>
      </c>
      <c r="J85" s="25" t="str">
        <f aca="false">IF(OR($B85="",$C85="",COUNTIF($D$4:$G$4,$B85)=0),"",IF($B85=J$4,$C85*정산!$C$4*(SUM($N85:$Q85)-P85),-$C85*정산!$C$4*P85))</f>
        <v/>
      </c>
      <c r="K85" s="25" t="str">
        <f aca="false">IF(OR($B85="",$C85="",COUNTIF($D$4:$G$4,$B85)=0),"",IF($B85=K$4,$C85*정산!$C$4*(SUM($N85:$Q85)-Q85),-$C85*정산!$C$4*Q85))</f>
        <v/>
      </c>
      <c r="L85" s="26" t="str">
        <f aca="false">IF(AND($B85="",$C85=""),"",IF($B85="","승자 선택!",IF($C85="","점수 입력!",IF(COUNTIF($D$4:$G$4,$B85)=0,"승자 이름?",IF(COUNTIF(D85:G85,"쉼")&lt;&gt;1,"쉼 1명 표시!",IF(INDEX(D85:G85,MATCH($B85,$D$4:$G$4,0))="쉼","승자가 쉼?","✓"))))))</f>
        <v/>
      </c>
      <c r="M85" s="27"/>
      <c r="N85" s="21" t="n">
        <f aca="false">IF(D85="쉼",0,IF(D85="",1,IFERROR(VALUE(LEFT(D85,1)),1)))</f>
        <v>1</v>
      </c>
      <c r="O85" s="21" t="n">
        <f aca="false">IF(E85="쉼",0,IF(E85="",1,IFERROR(VALUE(LEFT(E85,1)),1)))</f>
        <v>1</v>
      </c>
      <c r="P85" s="21" t="n">
        <f aca="false">IF(F85="쉼",0,IF(F85="",1,IFERROR(VALUE(LEFT(F85,1)),1)))</f>
        <v>1</v>
      </c>
      <c r="Q85" s="21" t="n">
        <f aca="false">IF(G85="쉼",0,IF(G85="",1,IFERROR(VALUE(LEFT(G85,1)),1)))</f>
        <v>1</v>
      </c>
    </row>
    <row r="86" customFormat="false" ht="15" hidden="false" customHeight="false" outlineLevel="0" collapsed="false">
      <c r="A86" s="22" t="n">
        <v>82</v>
      </c>
      <c r="B86" s="23"/>
      <c r="C86" s="23"/>
      <c r="D86" s="24"/>
      <c r="E86" s="24"/>
      <c r="F86" s="24"/>
      <c r="G86" s="24"/>
      <c r="H86" s="25" t="str">
        <f aca="false">IF(OR($B86="",$C86="",COUNTIF($D$4:$G$4,$B86)=0),"",IF($B86=H$4,$C86*정산!$C$4*(SUM($N86:$Q86)-N86),-$C86*정산!$C$4*N86))</f>
        <v/>
      </c>
      <c r="I86" s="25" t="str">
        <f aca="false">IF(OR($B86="",$C86="",COUNTIF($D$4:$G$4,$B86)=0),"",IF($B86=I$4,$C86*정산!$C$4*(SUM($N86:$Q86)-O86),-$C86*정산!$C$4*O86))</f>
        <v/>
      </c>
      <c r="J86" s="25" t="str">
        <f aca="false">IF(OR($B86="",$C86="",COUNTIF($D$4:$G$4,$B86)=0),"",IF($B86=J$4,$C86*정산!$C$4*(SUM($N86:$Q86)-P86),-$C86*정산!$C$4*P86))</f>
        <v/>
      </c>
      <c r="K86" s="25" t="str">
        <f aca="false">IF(OR($B86="",$C86="",COUNTIF($D$4:$G$4,$B86)=0),"",IF($B86=K$4,$C86*정산!$C$4*(SUM($N86:$Q86)-Q86),-$C86*정산!$C$4*Q86))</f>
        <v/>
      </c>
      <c r="L86" s="26" t="str">
        <f aca="false">IF(AND($B86="",$C86=""),"",IF($B86="","승자 선택!",IF($C86="","점수 입력!",IF(COUNTIF($D$4:$G$4,$B86)=0,"승자 이름?",IF(COUNTIF(D86:G86,"쉼")&lt;&gt;1,"쉼 1명 표시!",IF(INDEX(D86:G86,MATCH($B86,$D$4:$G$4,0))="쉼","승자가 쉼?","✓"))))))</f>
        <v/>
      </c>
      <c r="M86" s="27"/>
      <c r="N86" s="21" t="n">
        <f aca="false">IF(D86="쉼",0,IF(D86="",1,IFERROR(VALUE(LEFT(D86,1)),1)))</f>
        <v>1</v>
      </c>
      <c r="O86" s="21" t="n">
        <f aca="false">IF(E86="쉼",0,IF(E86="",1,IFERROR(VALUE(LEFT(E86,1)),1)))</f>
        <v>1</v>
      </c>
      <c r="P86" s="21" t="n">
        <f aca="false">IF(F86="쉼",0,IF(F86="",1,IFERROR(VALUE(LEFT(F86,1)),1)))</f>
        <v>1</v>
      </c>
      <c r="Q86" s="21" t="n">
        <f aca="false">IF(G86="쉼",0,IF(G86="",1,IFERROR(VALUE(LEFT(G86,1)),1)))</f>
        <v>1</v>
      </c>
    </row>
    <row r="87" customFormat="false" ht="15" hidden="false" customHeight="false" outlineLevel="0" collapsed="false">
      <c r="A87" s="22" t="n">
        <v>83</v>
      </c>
      <c r="B87" s="23"/>
      <c r="C87" s="23"/>
      <c r="D87" s="24"/>
      <c r="E87" s="24"/>
      <c r="F87" s="24"/>
      <c r="G87" s="24"/>
      <c r="H87" s="25" t="str">
        <f aca="false">IF(OR($B87="",$C87="",COUNTIF($D$4:$G$4,$B87)=0),"",IF($B87=H$4,$C87*정산!$C$4*(SUM($N87:$Q87)-N87),-$C87*정산!$C$4*N87))</f>
        <v/>
      </c>
      <c r="I87" s="25" t="str">
        <f aca="false">IF(OR($B87="",$C87="",COUNTIF($D$4:$G$4,$B87)=0),"",IF($B87=I$4,$C87*정산!$C$4*(SUM($N87:$Q87)-O87),-$C87*정산!$C$4*O87))</f>
        <v/>
      </c>
      <c r="J87" s="25" t="str">
        <f aca="false">IF(OR($B87="",$C87="",COUNTIF($D$4:$G$4,$B87)=0),"",IF($B87=J$4,$C87*정산!$C$4*(SUM($N87:$Q87)-P87),-$C87*정산!$C$4*P87))</f>
        <v/>
      </c>
      <c r="K87" s="25" t="str">
        <f aca="false">IF(OR($B87="",$C87="",COUNTIF($D$4:$G$4,$B87)=0),"",IF($B87=K$4,$C87*정산!$C$4*(SUM($N87:$Q87)-Q87),-$C87*정산!$C$4*Q87))</f>
        <v/>
      </c>
      <c r="L87" s="26" t="str">
        <f aca="false">IF(AND($B87="",$C87=""),"",IF($B87="","승자 선택!",IF($C87="","점수 입력!",IF(COUNTIF($D$4:$G$4,$B87)=0,"승자 이름?",IF(COUNTIF(D87:G87,"쉼")&lt;&gt;1,"쉼 1명 표시!",IF(INDEX(D87:G87,MATCH($B87,$D$4:$G$4,0))="쉼","승자가 쉼?","✓"))))))</f>
        <v/>
      </c>
      <c r="M87" s="27"/>
      <c r="N87" s="21" t="n">
        <f aca="false">IF(D87="쉼",0,IF(D87="",1,IFERROR(VALUE(LEFT(D87,1)),1)))</f>
        <v>1</v>
      </c>
      <c r="O87" s="21" t="n">
        <f aca="false">IF(E87="쉼",0,IF(E87="",1,IFERROR(VALUE(LEFT(E87,1)),1)))</f>
        <v>1</v>
      </c>
      <c r="P87" s="21" t="n">
        <f aca="false">IF(F87="쉼",0,IF(F87="",1,IFERROR(VALUE(LEFT(F87,1)),1)))</f>
        <v>1</v>
      </c>
      <c r="Q87" s="21" t="n">
        <f aca="false">IF(G87="쉼",0,IF(G87="",1,IFERROR(VALUE(LEFT(G87,1)),1)))</f>
        <v>1</v>
      </c>
    </row>
    <row r="88" customFormat="false" ht="15" hidden="false" customHeight="false" outlineLevel="0" collapsed="false">
      <c r="A88" s="22" t="n">
        <v>84</v>
      </c>
      <c r="B88" s="23"/>
      <c r="C88" s="23"/>
      <c r="D88" s="24"/>
      <c r="E88" s="24"/>
      <c r="F88" s="24"/>
      <c r="G88" s="24"/>
      <c r="H88" s="25" t="str">
        <f aca="false">IF(OR($B88="",$C88="",COUNTIF($D$4:$G$4,$B88)=0),"",IF($B88=H$4,$C88*정산!$C$4*(SUM($N88:$Q88)-N88),-$C88*정산!$C$4*N88))</f>
        <v/>
      </c>
      <c r="I88" s="25" t="str">
        <f aca="false">IF(OR($B88="",$C88="",COUNTIF($D$4:$G$4,$B88)=0),"",IF($B88=I$4,$C88*정산!$C$4*(SUM($N88:$Q88)-O88),-$C88*정산!$C$4*O88))</f>
        <v/>
      </c>
      <c r="J88" s="25" t="str">
        <f aca="false">IF(OR($B88="",$C88="",COUNTIF($D$4:$G$4,$B88)=0),"",IF($B88=J$4,$C88*정산!$C$4*(SUM($N88:$Q88)-P88),-$C88*정산!$C$4*P88))</f>
        <v/>
      </c>
      <c r="K88" s="25" t="str">
        <f aca="false">IF(OR($B88="",$C88="",COUNTIF($D$4:$G$4,$B88)=0),"",IF($B88=K$4,$C88*정산!$C$4*(SUM($N88:$Q88)-Q88),-$C88*정산!$C$4*Q88))</f>
        <v/>
      </c>
      <c r="L88" s="26" t="str">
        <f aca="false">IF(AND($B88="",$C88=""),"",IF($B88="","승자 선택!",IF($C88="","점수 입력!",IF(COUNTIF($D$4:$G$4,$B88)=0,"승자 이름?",IF(COUNTIF(D88:G88,"쉼")&lt;&gt;1,"쉼 1명 표시!",IF(INDEX(D88:G88,MATCH($B88,$D$4:$G$4,0))="쉼","승자가 쉼?","✓"))))))</f>
        <v/>
      </c>
      <c r="M88" s="27"/>
      <c r="N88" s="21" t="n">
        <f aca="false">IF(D88="쉼",0,IF(D88="",1,IFERROR(VALUE(LEFT(D88,1)),1)))</f>
        <v>1</v>
      </c>
      <c r="O88" s="21" t="n">
        <f aca="false">IF(E88="쉼",0,IF(E88="",1,IFERROR(VALUE(LEFT(E88,1)),1)))</f>
        <v>1</v>
      </c>
      <c r="P88" s="21" t="n">
        <f aca="false">IF(F88="쉼",0,IF(F88="",1,IFERROR(VALUE(LEFT(F88,1)),1)))</f>
        <v>1</v>
      </c>
      <c r="Q88" s="21" t="n">
        <f aca="false">IF(G88="쉼",0,IF(G88="",1,IFERROR(VALUE(LEFT(G88,1)),1)))</f>
        <v>1</v>
      </c>
    </row>
    <row r="89" customFormat="false" ht="15" hidden="false" customHeight="false" outlineLevel="0" collapsed="false">
      <c r="A89" s="22" t="n">
        <v>85</v>
      </c>
      <c r="B89" s="23"/>
      <c r="C89" s="23"/>
      <c r="D89" s="24"/>
      <c r="E89" s="24"/>
      <c r="F89" s="24"/>
      <c r="G89" s="24"/>
      <c r="H89" s="25" t="str">
        <f aca="false">IF(OR($B89="",$C89="",COUNTIF($D$4:$G$4,$B89)=0),"",IF($B89=H$4,$C89*정산!$C$4*(SUM($N89:$Q89)-N89),-$C89*정산!$C$4*N89))</f>
        <v/>
      </c>
      <c r="I89" s="25" t="str">
        <f aca="false">IF(OR($B89="",$C89="",COUNTIF($D$4:$G$4,$B89)=0),"",IF($B89=I$4,$C89*정산!$C$4*(SUM($N89:$Q89)-O89),-$C89*정산!$C$4*O89))</f>
        <v/>
      </c>
      <c r="J89" s="25" t="str">
        <f aca="false">IF(OR($B89="",$C89="",COUNTIF($D$4:$G$4,$B89)=0),"",IF($B89=J$4,$C89*정산!$C$4*(SUM($N89:$Q89)-P89),-$C89*정산!$C$4*P89))</f>
        <v/>
      </c>
      <c r="K89" s="25" t="str">
        <f aca="false">IF(OR($B89="",$C89="",COUNTIF($D$4:$G$4,$B89)=0),"",IF($B89=K$4,$C89*정산!$C$4*(SUM($N89:$Q89)-Q89),-$C89*정산!$C$4*Q89))</f>
        <v/>
      </c>
      <c r="L89" s="26" t="str">
        <f aca="false">IF(AND($B89="",$C89=""),"",IF($B89="","승자 선택!",IF($C89="","점수 입력!",IF(COUNTIF($D$4:$G$4,$B89)=0,"승자 이름?",IF(COUNTIF(D89:G89,"쉼")&lt;&gt;1,"쉼 1명 표시!",IF(INDEX(D89:G89,MATCH($B89,$D$4:$G$4,0))="쉼","승자가 쉼?","✓"))))))</f>
        <v/>
      </c>
      <c r="M89" s="27"/>
      <c r="N89" s="21" t="n">
        <f aca="false">IF(D89="쉼",0,IF(D89="",1,IFERROR(VALUE(LEFT(D89,1)),1)))</f>
        <v>1</v>
      </c>
      <c r="O89" s="21" t="n">
        <f aca="false">IF(E89="쉼",0,IF(E89="",1,IFERROR(VALUE(LEFT(E89,1)),1)))</f>
        <v>1</v>
      </c>
      <c r="P89" s="21" t="n">
        <f aca="false">IF(F89="쉼",0,IF(F89="",1,IFERROR(VALUE(LEFT(F89,1)),1)))</f>
        <v>1</v>
      </c>
      <c r="Q89" s="21" t="n">
        <f aca="false">IF(G89="쉼",0,IF(G89="",1,IFERROR(VALUE(LEFT(G89,1)),1)))</f>
        <v>1</v>
      </c>
    </row>
    <row r="90" customFormat="false" ht="15" hidden="false" customHeight="false" outlineLevel="0" collapsed="false">
      <c r="A90" s="22" t="n">
        <v>86</v>
      </c>
      <c r="B90" s="23"/>
      <c r="C90" s="23"/>
      <c r="D90" s="24"/>
      <c r="E90" s="24"/>
      <c r="F90" s="24"/>
      <c r="G90" s="24"/>
      <c r="H90" s="25" t="str">
        <f aca="false">IF(OR($B90="",$C90="",COUNTIF($D$4:$G$4,$B90)=0),"",IF($B90=H$4,$C90*정산!$C$4*(SUM($N90:$Q90)-N90),-$C90*정산!$C$4*N90))</f>
        <v/>
      </c>
      <c r="I90" s="25" t="str">
        <f aca="false">IF(OR($B90="",$C90="",COUNTIF($D$4:$G$4,$B90)=0),"",IF($B90=I$4,$C90*정산!$C$4*(SUM($N90:$Q90)-O90),-$C90*정산!$C$4*O90))</f>
        <v/>
      </c>
      <c r="J90" s="25" t="str">
        <f aca="false">IF(OR($B90="",$C90="",COUNTIF($D$4:$G$4,$B90)=0),"",IF($B90=J$4,$C90*정산!$C$4*(SUM($N90:$Q90)-P90),-$C90*정산!$C$4*P90))</f>
        <v/>
      </c>
      <c r="K90" s="25" t="str">
        <f aca="false">IF(OR($B90="",$C90="",COUNTIF($D$4:$G$4,$B90)=0),"",IF($B90=K$4,$C90*정산!$C$4*(SUM($N90:$Q90)-Q90),-$C90*정산!$C$4*Q90))</f>
        <v/>
      </c>
      <c r="L90" s="26" t="str">
        <f aca="false">IF(AND($B90="",$C90=""),"",IF($B90="","승자 선택!",IF($C90="","점수 입력!",IF(COUNTIF($D$4:$G$4,$B90)=0,"승자 이름?",IF(COUNTIF(D90:G90,"쉼")&lt;&gt;1,"쉼 1명 표시!",IF(INDEX(D90:G90,MATCH($B90,$D$4:$G$4,0))="쉼","승자가 쉼?","✓"))))))</f>
        <v/>
      </c>
      <c r="M90" s="27"/>
      <c r="N90" s="21" t="n">
        <f aca="false">IF(D90="쉼",0,IF(D90="",1,IFERROR(VALUE(LEFT(D90,1)),1)))</f>
        <v>1</v>
      </c>
      <c r="O90" s="21" t="n">
        <f aca="false">IF(E90="쉼",0,IF(E90="",1,IFERROR(VALUE(LEFT(E90,1)),1)))</f>
        <v>1</v>
      </c>
      <c r="P90" s="21" t="n">
        <f aca="false">IF(F90="쉼",0,IF(F90="",1,IFERROR(VALUE(LEFT(F90,1)),1)))</f>
        <v>1</v>
      </c>
      <c r="Q90" s="21" t="n">
        <f aca="false">IF(G90="쉼",0,IF(G90="",1,IFERROR(VALUE(LEFT(G90,1)),1)))</f>
        <v>1</v>
      </c>
    </row>
    <row r="91" customFormat="false" ht="15" hidden="false" customHeight="false" outlineLevel="0" collapsed="false">
      <c r="A91" s="22" t="n">
        <v>87</v>
      </c>
      <c r="B91" s="23"/>
      <c r="C91" s="23"/>
      <c r="D91" s="24"/>
      <c r="E91" s="24"/>
      <c r="F91" s="24"/>
      <c r="G91" s="24"/>
      <c r="H91" s="25" t="str">
        <f aca="false">IF(OR($B91="",$C91="",COUNTIF($D$4:$G$4,$B91)=0),"",IF($B91=H$4,$C91*정산!$C$4*(SUM($N91:$Q91)-N91),-$C91*정산!$C$4*N91))</f>
        <v/>
      </c>
      <c r="I91" s="25" t="str">
        <f aca="false">IF(OR($B91="",$C91="",COUNTIF($D$4:$G$4,$B91)=0),"",IF($B91=I$4,$C91*정산!$C$4*(SUM($N91:$Q91)-O91),-$C91*정산!$C$4*O91))</f>
        <v/>
      </c>
      <c r="J91" s="25" t="str">
        <f aca="false">IF(OR($B91="",$C91="",COUNTIF($D$4:$G$4,$B91)=0),"",IF($B91=J$4,$C91*정산!$C$4*(SUM($N91:$Q91)-P91),-$C91*정산!$C$4*P91))</f>
        <v/>
      </c>
      <c r="K91" s="25" t="str">
        <f aca="false">IF(OR($B91="",$C91="",COUNTIF($D$4:$G$4,$B91)=0),"",IF($B91=K$4,$C91*정산!$C$4*(SUM($N91:$Q91)-Q91),-$C91*정산!$C$4*Q91))</f>
        <v/>
      </c>
      <c r="L91" s="26" t="str">
        <f aca="false">IF(AND($B91="",$C91=""),"",IF($B91="","승자 선택!",IF($C91="","점수 입력!",IF(COUNTIF($D$4:$G$4,$B91)=0,"승자 이름?",IF(COUNTIF(D91:G91,"쉼")&lt;&gt;1,"쉼 1명 표시!",IF(INDEX(D91:G91,MATCH($B91,$D$4:$G$4,0))="쉼","승자가 쉼?","✓"))))))</f>
        <v/>
      </c>
      <c r="M91" s="27"/>
      <c r="N91" s="21" t="n">
        <f aca="false">IF(D91="쉼",0,IF(D91="",1,IFERROR(VALUE(LEFT(D91,1)),1)))</f>
        <v>1</v>
      </c>
      <c r="O91" s="21" t="n">
        <f aca="false">IF(E91="쉼",0,IF(E91="",1,IFERROR(VALUE(LEFT(E91,1)),1)))</f>
        <v>1</v>
      </c>
      <c r="P91" s="21" t="n">
        <f aca="false">IF(F91="쉼",0,IF(F91="",1,IFERROR(VALUE(LEFT(F91,1)),1)))</f>
        <v>1</v>
      </c>
      <c r="Q91" s="21" t="n">
        <f aca="false">IF(G91="쉼",0,IF(G91="",1,IFERROR(VALUE(LEFT(G91,1)),1)))</f>
        <v>1</v>
      </c>
    </row>
    <row r="92" customFormat="false" ht="15" hidden="false" customHeight="false" outlineLevel="0" collapsed="false">
      <c r="A92" s="22" t="n">
        <v>88</v>
      </c>
      <c r="B92" s="23"/>
      <c r="C92" s="23"/>
      <c r="D92" s="24"/>
      <c r="E92" s="24"/>
      <c r="F92" s="24"/>
      <c r="G92" s="24"/>
      <c r="H92" s="25" t="str">
        <f aca="false">IF(OR($B92="",$C92="",COUNTIF($D$4:$G$4,$B92)=0),"",IF($B92=H$4,$C92*정산!$C$4*(SUM($N92:$Q92)-N92),-$C92*정산!$C$4*N92))</f>
        <v/>
      </c>
      <c r="I92" s="25" t="str">
        <f aca="false">IF(OR($B92="",$C92="",COUNTIF($D$4:$G$4,$B92)=0),"",IF($B92=I$4,$C92*정산!$C$4*(SUM($N92:$Q92)-O92),-$C92*정산!$C$4*O92))</f>
        <v/>
      </c>
      <c r="J92" s="25" t="str">
        <f aca="false">IF(OR($B92="",$C92="",COUNTIF($D$4:$G$4,$B92)=0),"",IF($B92=J$4,$C92*정산!$C$4*(SUM($N92:$Q92)-P92),-$C92*정산!$C$4*P92))</f>
        <v/>
      </c>
      <c r="K92" s="25" t="str">
        <f aca="false">IF(OR($B92="",$C92="",COUNTIF($D$4:$G$4,$B92)=0),"",IF($B92=K$4,$C92*정산!$C$4*(SUM($N92:$Q92)-Q92),-$C92*정산!$C$4*Q92))</f>
        <v/>
      </c>
      <c r="L92" s="26" t="str">
        <f aca="false">IF(AND($B92="",$C92=""),"",IF($B92="","승자 선택!",IF($C92="","점수 입력!",IF(COUNTIF($D$4:$G$4,$B92)=0,"승자 이름?",IF(COUNTIF(D92:G92,"쉼")&lt;&gt;1,"쉼 1명 표시!",IF(INDEX(D92:G92,MATCH($B92,$D$4:$G$4,0))="쉼","승자가 쉼?","✓"))))))</f>
        <v/>
      </c>
      <c r="M92" s="27"/>
      <c r="N92" s="21" t="n">
        <f aca="false">IF(D92="쉼",0,IF(D92="",1,IFERROR(VALUE(LEFT(D92,1)),1)))</f>
        <v>1</v>
      </c>
      <c r="O92" s="21" t="n">
        <f aca="false">IF(E92="쉼",0,IF(E92="",1,IFERROR(VALUE(LEFT(E92,1)),1)))</f>
        <v>1</v>
      </c>
      <c r="P92" s="21" t="n">
        <f aca="false">IF(F92="쉼",0,IF(F92="",1,IFERROR(VALUE(LEFT(F92,1)),1)))</f>
        <v>1</v>
      </c>
      <c r="Q92" s="21" t="n">
        <f aca="false">IF(G92="쉼",0,IF(G92="",1,IFERROR(VALUE(LEFT(G92,1)),1)))</f>
        <v>1</v>
      </c>
    </row>
    <row r="93" customFormat="false" ht="15" hidden="false" customHeight="false" outlineLevel="0" collapsed="false">
      <c r="A93" s="22" t="n">
        <v>89</v>
      </c>
      <c r="B93" s="23"/>
      <c r="C93" s="23"/>
      <c r="D93" s="24"/>
      <c r="E93" s="24"/>
      <c r="F93" s="24"/>
      <c r="G93" s="24"/>
      <c r="H93" s="25" t="str">
        <f aca="false">IF(OR($B93="",$C93="",COUNTIF($D$4:$G$4,$B93)=0),"",IF($B93=H$4,$C93*정산!$C$4*(SUM($N93:$Q93)-N93),-$C93*정산!$C$4*N93))</f>
        <v/>
      </c>
      <c r="I93" s="25" t="str">
        <f aca="false">IF(OR($B93="",$C93="",COUNTIF($D$4:$G$4,$B93)=0),"",IF($B93=I$4,$C93*정산!$C$4*(SUM($N93:$Q93)-O93),-$C93*정산!$C$4*O93))</f>
        <v/>
      </c>
      <c r="J93" s="25" t="str">
        <f aca="false">IF(OR($B93="",$C93="",COUNTIF($D$4:$G$4,$B93)=0),"",IF($B93=J$4,$C93*정산!$C$4*(SUM($N93:$Q93)-P93),-$C93*정산!$C$4*P93))</f>
        <v/>
      </c>
      <c r="K93" s="25" t="str">
        <f aca="false">IF(OR($B93="",$C93="",COUNTIF($D$4:$G$4,$B93)=0),"",IF($B93=K$4,$C93*정산!$C$4*(SUM($N93:$Q93)-Q93),-$C93*정산!$C$4*Q93))</f>
        <v/>
      </c>
      <c r="L93" s="26" t="str">
        <f aca="false">IF(AND($B93="",$C93=""),"",IF($B93="","승자 선택!",IF($C93="","점수 입력!",IF(COUNTIF($D$4:$G$4,$B93)=0,"승자 이름?",IF(COUNTIF(D93:G93,"쉼")&lt;&gt;1,"쉼 1명 표시!",IF(INDEX(D93:G93,MATCH($B93,$D$4:$G$4,0))="쉼","승자가 쉼?","✓"))))))</f>
        <v/>
      </c>
      <c r="M93" s="27"/>
      <c r="N93" s="21" t="n">
        <f aca="false">IF(D93="쉼",0,IF(D93="",1,IFERROR(VALUE(LEFT(D93,1)),1)))</f>
        <v>1</v>
      </c>
      <c r="O93" s="21" t="n">
        <f aca="false">IF(E93="쉼",0,IF(E93="",1,IFERROR(VALUE(LEFT(E93,1)),1)))</f>
        <v>1</v>
      </c>
      <c r="P93" s="21" t="n">
        <f aca="false">IF(F93="쉼",0,IF(F93="",1,IFERROR(VALUE(LEFT(F93,1)),1)))</f>
        <v>1</v>
      </c>
      <c r="Q93" s="21" t="n">
        <f aca="false">IF(G93="쉼",0,IF(G93="",1,IFERROR(VALUE(LEFT(G93,1)),1)))</f>
        <v>1</v>
      </c>
    </row>
    <row r="94" customFormat="false" ht="15" hidden="false" customHeight="false" outlineLevel="0" collapsed="false">
      <c r="A94" s="22" t="n">
        <v>90</v>
      </c>
      <c r="B94" s="23"/>
      <c r="C94" s="23"/>
      <c r="D94" s="24"/>
      <c r="E94" s="24"/>
      <c r="F94" s="24"/>
      <c r="G94" s="24"/>
      <c r="H94" s="25" t="str">
        <f aca="false">IF(OR($B94="",$C94="",COUNTIF($D$4:$G$4,$B94)=0),"",IF($B94=H$4,$C94*정산!$C$4*(SUM($N94:$Q94)-N94),-$C94*정산!$C$4*N94))</f>
        <v/>
      </c>
      <c r="I94" s="25" t="str">
        <f aca="false">IF(OR($B94="",$C94="",COUNTIF($D$4:$G$4,$B94)=0),"",IF($B94=I$4,$C94*정산!$C$4*(SUM($N94:$Q94)-O94),-$C94*정산!$C$4*O94))</f>
        <v/>
      </c>
      <c r="J94" s="25" t="str">
        <f aca="false">IF(OR($B94="",$C94="",COUNTIF($D$4:$G$4,$B94)=0),"",IF($B94=J$4,$C94*정산!$C$4*(SUM($N94:$Q94)-P94),-$C94*정산!$C$4*P94))</f>
        <v/>
      </c>
      <c r="K94" s="25" t="str">
        <f aca="false">IF(OR($B94="",$C94="",COUNTIF($D$4:$G$4,$B94)=0),"",IF($B94=K$4,$C94*정산!$C$4*(SUM($N94:$Q94)-Q94),-$C94*정산!$C$4*Q94))</f>
        <v/>
      </c>
      <c r="L94" s="26" t="str">
        <f aca="false">IF(AND($B94="",$C94=""),"",IF($B94="","승자 선택!",IF($C94="","점수 입력!",IF(COUNTIF($D$4:$G$4,$B94)=0,"승자 이름?",IF(COUNTIF(D94:G94,"쉼")&lt;&gt;1,"쉼 1명 표시!",IF(INDEX(D94:G94,MATCH($B94,$D$4:$G$4,0))="쉼","승자가 쉼?","✓"))))))</f>
        <v/>
      </c>
      <c r="M94" s="27"/>
      <c r="N94" s="21" t="n">
        <f aca="false">IF(D94="쉼",0,IF(D94="",1,IFERROR(VALUE(LEFT(D94,1)),1)))</f>
        <v>1</v>
      </c>
      <c r="O94" s="21" t="n">
        <f aca="false">IF(E94="쉼",0,IF(E94="",1,IFERROR(VALUE(LEFT(E94,1)),1)))</f>
        <v>1</v>
      </c>
      <c r="P94" s="21" t="n">
        <f aca="false">IF(F94="쉼",0,IF(F94="",1,IFERROR(VALUE(LEFT(F94,1)),1)))</f>
        <v>1</v>
      </c>
      <c r="Q94" s="21" t="n">
        <f aca="false">IF(G94="쉼",0,IF(G94="",1,IFERROR(VALUE(LEFT(G94,1)),1)))</f>
        <v>1</v>
      </c>
    </row>
    <row r="95" customFormat="false" ht="15" hidden="false" customHeight="false" outlineLevel="0" collapsed="false">
      <c r="A95" s="22" t="n">
        <v>91</v>
      </c>
      <c r="B95" s="23"/>
      <c r="C95" s="23"/>
      <c r="D95" s="24"/>
      <c r="E95" s="24"/>
      <c r="F95" s="24"/>
      <c r="G95" s="24"/>
      <c r="H95" s="25" t="str">
        <f aca="false">IF(OR($B95="",$C95="",COUNTIF($D$4:$G$4,$B95)=0),"",IF($B95=H$4,$C95*정산!$C$4*(SUM($N95:$Q95)-N95),-$C95*정산!$C$4*N95))</f>
        <v/>
      </c>
      <c r="I95" s="25" t="str">
        <f aca="false">IF(OR($B95="",$C95="",COUNTIF($D$4:$G$4,$B95)=0),"",IF($B95=I$4,$C95*정산!$C$4*(SUM($N95:$Q95)-O95),-$C95*정산!$C$4*O95))</f>
        <v/>
      </c>
      <c r="J95" s="25" t="str">
        <f aca="false">IF(OR($B95="",$C95="",COUNTIF($D$4:$G$4,$B95)=0),"",IF($B95=J$4,$C95*정산!$C$4*(SUM($N95:$Q95)-P95),-$C95*정산!$C$4*P95))</f>
        <v/>
      </c>
      <c r="K95" s="25" t="str">
        <f aca="false">IF(OR($B95="",$C95="",COUNTIF($D$4:$G$4,$B95)=0),"",IF($B95=K$4,$C95*정산!$C$4*(SUM($N95:$Q95)-Q95),-$C95*정산!$C$4*Q95))</f>
        <v/>
      </c>
      <c r="L95" s="26" t="str">
        <f aca="false">IF(AND($B95="",$C95=""),"",IF($B95="","승자 선택!",IF($C95="","점수 입력!",IF(COUNTIF($D$4:$G$4,$B95)=0,"승자 이름?",IF(COUNTIF(D95:G95,"쉼")&lt;&gt;1,"쉼 1명 표시!",IF(INDEX(D95:G95,MATCH($B95,$D$4:$G$4,0))="쉼","승자가 쉼?","✓"))))))</f>
        <v/>
      </c>
      <c r="M95" s="27"/>
      <c r="N95" s="21" t="n">
        <f aca="false">IF(D95="쉼",0,IF(D95="",1,IFERROR(VALUE(LEFT(D95,1)),1)))</f>
        <v>1</v>
      </c>
      <c r="O95" s="21" t="n">
        <f aca="false">IF(E95="쉼",0,IF(E95="",1,IFERROR(VALUE(LEFT(E95,1)),1)))</f>
        <v>1</v>
      </c>
      <c r="P95" s="21" t="n">
        <f aca="false">IF(F95="쉼",0,IF(F95="",1,IFERROR(VALUE(LEFT(F95,1)),1)))</f>
        <v>1</v>
      </c>
      <c r="Q95" s="21" t="n">
        <f aca="false">IF(G95="쉼",0,IF(G95="",1,IFERROR(VALUE(LEFT(G95,1)),1)))</f>
        <v>1</v>
      </c>
    </row>
    <row r="96" customFormat="false" ht="15" hidden="false" customHeight="false" outlineLevel="0" collapsed="false">
      <c r="A96" s="22" t="n">
        <v>92</v>
      </c>
      <c r="B96" s="23"/>
      <c r="C96" s="23"/>
      <c r="D96" s="24"/>
      <c r="E96" s="24"/>
      <c r="F96" s="24"/>
      <c r="G96" s="24"/>
      <c r="H96" s="25" t="str">
        <f aca="false">IF(OR($B96="",$C96="",COUNTIF($D$4:$G$4,$B96)=0),"",IF($B96=H$4,$C96*정산!$C$4*(SUM($N96:$Q96)-N96),-$C96*정산!$C$4*N96))</f>
        <v/>
      </c>
      <c r="I96" s="25" t="str">
        <f aca="false">IF(OR($B96="",$C96="",COUNTIF($D$4:$G$4,$B96)=0),"",IF($B96=I$4,$C96*정산!$C$4*(SUM($N96:$Q96)-O96),-$C96*정산!$C$4*O96))</f>
        <v/>
      </c>
      <c r="J96" s="25" t="str">
        <f aca="false">IF(OR($B96="",$C96="",COUNTIF($D$4:$G$4,$B96)=0),"",IF($B96=J$4,$C96*정산!$C$4*(SUM($N96:$Q96)-P96),-$C96*정산!$C$4*P96))</f>
        <v/>
      </c>
      <c r="K96" s="25" t="str">
        <f aca="false">IF(OR($B96="",$C96="",COUNTIF($D$4:$G$4,$B96)=0),"",IF($B96=K$4,$C96*정산!$C$4*(SUM($N96:$Q96)-Q96),-$C96*정산!$C$4*Q96))</f>
        <v/>
      </c>
      <c r="L96" s="26" t="str">
        <f aca="false">IF(AND($B96="",$C96=""),"",IF($B96="","승자 선택!",IF($C96="","점수 입력!",IF(COUNTIF($D$4:$G$4,$B96)=0,"승자 이름?",IF(COUNTIF(D96:G96,"쉼")&lt;&gt;1,"쉼 1명 표시!",IF(INDEX(D96:G96,MATCH($B96,$D$4:$G$4,0))="쉼","승자가 쉼?","✓"))))))</f>
        <v/>
      </c>
      <c r="M96" s="27"/>
      <c r="N96" s="21" t="n">
        <f aca="false">IF(D96="쉼",0,IF(D96="",1,IFERROR(VALUE(LEFT(D96,1)),1)))</f>
        <v>1</v>
      </c>
      <c r="O96" s="21" t="n">
        <f aca="false">IF(E96="쉼",0,IF(E96="",1,IFERROR(VALUE(LEFT(E96,1)),1)))</f>
        <v>1</v>
      </c>
      <c r="P96" s="21" t="n">
        <f aca="false">IF(F96="쉼",0,IF(F96="",1,IFERROR(VALUE(LEFT(F96,1)),1)))</f>
        <v>1</v>
      </c>
      <c r="Q96" s="21" t="n">
        <f aca="false">IF(G96="쉼",0,IF(G96="",1,IFERROR(VALUE(LEFT(G96,1)),1)))</f>
        <v>1</v>
      </c>
    </row>
    <row r="97" customFormat="false" ht="15" hidden="false" customHeight="false" outlineLevel="0" collapsed="false">
      <c r="A97" s="22" t="n">
        <v>93</v>
      </c>
      <c r="B97" s="23"/>
      <c r="C97" s="23"/>
      <c r="D97" s="24"/>
      <c r="E97" s="24"/>
      <c r="F97" s="24"/>
      <c r="G97" s="24"/>
      <c r="H97" s="25" t="str">
        <f aca="false">IF(OR($B97="",$C97="",COUNTIF($D$4:$G$4,$B97)=0),"",IF($B97=H$4,$C97*정산!$C$4*(SUM($N97:$Q97)-N97),-$C97*정산!$C$4*N97))</f>
        <v/>
      </c>
      <c r="I97" s="25" t="str">
        <f aca="false">IF(OR($B97="",$C97="",COUNTIF($D$4:$G$4,$B97)=0),"",IF($B97=I$4,$C97*정산!$C$4*(SUM($N97:$Q97)-O97),-$C97*정산!$C$4*O97))</f>
        <v/>
      </c>
      <c r="J97" s="25" t="str">
        <f aca="false">IF(OR($B97="",$C97="",COUNTIF($D$4:$G$4,$B97)=0),"",IF($B97=J$4,$C97*정산!$C$4*(SUM($N97:$Q97)-P97),-$C97*정산!$C$4*P97))</f>
        <v/>
      </c>
      <c r="K97" s="25" t="str">
        <f aca="false">IF(OR($B97="",$C97="",COUNTIF($D$4:$G$4,$B97)=0),"",IF($B97=K$4,$C97*정산!$C$4*(SUM($N97:$Q97)-Q97),-$C97*정산!$C$4*Q97))</f>
        <v/>
      </c>
      <c r="L97" s="26" t="str">
        <f aca="false">IF(AND($B97="",$C97=""),"",IF($B97="","승자 선택!",IF($C97="","점수 입력!",IF(COUNTIF($D$4:$G$4,$B97)=0,"승자 이름?",IF(COUNTIF(D97:G97,"쉼")&lt;&gt;1,"쉼 1명 표시!",IF(INDEX(D97:G97,MATCH($B97,$D$4:$G$4,0))="쉼","승자가 쉼?","✓"))))))</f>
        <v/>
      </c>
      <c r="M97" s="27"/>
      <c r="N97" s="21" t="n">
        <f aca="false">IF(D97="쉼",0,IF(D97="",1,IFERROR(VALUE(LEFT(D97,1)),1)))</f>
        <v>1</v>
      </c>
      <c r="O97" s="21" t="n">
        <f aca="false">IF(E97="쉼",0,IF(E97="",1,IFERROR(VALUE(LEFT(E97,1)),1)))</f>
        <v>1</v>
      </c>
      <c r="P97" s="21" t="n">
        <f aca="false">IF(F97="쉼",0,IF(F97="",1,IFERROR(VALUE(LEFT(F97,1)),1)))</f>
        <v>1</v>
      </c>
      <c r="Q97" s="21" t="n">
        <f aca="false">IF(G97="쉼",0,IF(G97="",1,IFERROR(VALUE(LEFT(G97,1)),1)))</f>
        <v>1</v>
      </c>
    </row>
    <row r="98" customFormat="false" ht="15" hidden="false" customHeight="false" outlineLevel="0" collapsed="false">
      <c r="A98" s="22" t="n">
        <v>94</v>
      </c>
      <c r="B98" s="23"/>
      <c r="C98" s="23"/>
      <c r="D98" s="24"/>
      <c r="E98" s="24"/>
      <c r="F98" s="24"/>
      <c r="G98" s="24"/>
      <c r="H98" s="25" t="str">
        <f aca="false">IF(OR($B98="",$C98="",COUNTIF($D$4:$G$4,$B98)=0),"",IF($B98=H$4,$C98*정산!$C$4*(SUM($N98:$Q98)-N98),-$C98*정산!$C$4*N98))</f>
        <v/>
      </c>
      <c r="I98" s="25" t="str">
        <f aca="false">IF(OR($B98="",$C98="",COUNTIF($D$4:$G$4,$B98)=0),"",IF($B98=I$4,$C98*정산!$C$4*(SUM($N98:$Q98)-O98),-$C98*정산!$C$4*O98))</f>
        <v/>
      </c>
      <c r="J98" s="25" t="str">
        <f aca="false">IF(OR($B98="",$C98="",COUNTIF($D$4:$G$4,$B98)=0),"",IF($B98=J$4,$C98*정산!$C$4*(SUM($N98:$Q98)-P98),-$C98*정산!$C$4*P98))</f>
        <v/>
      </c>
      <c r="K98" s="25" t="str">
        <f aca="false">IF(OR($B98="",$C98="",COUNTIF($D$4:$G$4,$B98)=0),"",IF($B98=K$4,$C98*정산!$C$4*(SUM($N98:$Q98)-Q98),-$C98*정산!$C$4*Q98))</f>
        <v/>
      </c>
      <c r="L98" s="26" t="str">
        <f aca="false">IF(AND($B98="",$C98=""),"",IF($B98="","승자 선택!",IF($C98="","점수 입력!",IF(COUNTIF($D$4:$G$4,$B98)=0,"승자 이름?",IF(COUNTIF(D98:G98,"쉼")&lt;&gt;1,"쉼 1명 표시!",IF(INDEX(D98:G98,MATCH($B98,$D$4:$G$4,0))="쉼","승자가 쉼?","✓"))))))</f>
        <v/>
      </c>
      <c r="M98" s="27"/>
      <c r="N98" s="21" t="n">
        <f aca="false">IF(D98="쉼",0,IF(D98="",1,IFERROR(VALUE(LEFT(D98,1)),1)))</f>
        <v>1</v>
      </c>
      <c r="O98" s="21" t="n">
        <f aca="false">IF(E98="쉼",0,IF(E98="",1,IFERROR(VALUE(LEFT(E98,1)),1)))</f>
        <v>1</v>
      </c>
      <c r="P98" s="21" t="n">
        <f aca="false">IF(F98="쉼",0,IF(F98="",1,IFERROR(VALUE(LEFT(F98,1)),1)))</f>
        <v>1</v>
      </c>
      <c r="Q98" s="21" t="n">
        <f aca="false">IF(G98="쉼",0,IF(G98="",1,IFERROR(VALUE(LEFT(G98,1)),1)))</f>
        <v>1</v>
      </c>
    </row>
    <row r="99" customFormat="false" ht="15" hidden="false" customHeight="false" outlineLevel="0" collapsed="false">
      <c r="A99" s="22" t="n">
        <v>95</v>
      </c>
      <c r="B99" s="23"/>
      <c r="C99" s="23"/>
      <c r="D99" s="24"/>
      <c r="E99" s="24"/>
      <c r="F99" s="24"/>
      <c r="G99" s="24"/>
      <c r="H99" s="25" t="str">
        <f aca="false">IF(OR($B99="",$C99="",COUNTIF($D$4:$G$4,$B99)=0),"",IF($B99=H$4,$C99*정산!$C$4*(SUM($N99:$Q99)-N99),-$C99*정산!$C$4*N99))</f>
        <v/>
      </c>
      <c r="I99" s="25" t="str">
        <f aca="false">IF(OR($B99="",$C99="",COUNTIF($D$4:$G$4,$B99)=0),"",IF($B99=I$4,$C99*정산!$C$4*(SUM($N99:$Q99)-O99),-$C99*정산!$C$4*O99))</f>
        <v/>
      </c>
      <c r="J99" s="25" t="str">
        <f aca="false">IF(OR($B99="",$C99="",COUNTIF($D$4:$G$4,$B99)=0),"",IF($B99=J$4,$C99*정산!$C$4*(SUM($N99:$Q99)-P99),-$C99*정산!$C$4*P99))</f>
        <v/>
      </c>
      <c r="K99" s="25" t="str">
        <f aca="false">IF(OR($B99="",$C99="",COUNTIF($D$4:$G$4,$B99)=0),"",IF($B99=K$4,$C99*정산!$C$4*(SUM($N99:$Q99)-Q99),-$C99*정산!$C$4*Q99))</f>
        <v/>
      </c>
      <c r="L99" s="26" t="str">
        <f aca="false">IF(AND($B99="",$C99=""),"",IF($B99="","승자 선택!",IF($C99="","점수 입력!",IF(COUNTIF($D$4:$G$4,$B99)=0,"승자 이름?",IF(COUNTIF(D99:G99,"쉼")&lt;&gt;1,"쉼 1명 표시!",IF(INDEX(D99:G99,MATCH($B99,$D$4:$G$4,0))="쉼","승자가 쉼?","✓"))))))</f>
        <v/>
      </c>
      <c r="M99" s="27"/>
      <c r="N99" s="21" t="n">
        <f aca="false">IF(D99="쉼",0,IF(D99="",1,IFERROR(VALUE(LEFT(D99,1)),1)))</f>
        <v>1</v>
      </c>
      <c r="O99" s="21" t="n">
        <f aca="false">IF(E99="쉼",0,IF(E99="",1,IFERROR(VALUE(LEFT(E99,1)),1)))</f>
        <v>1</v>
      </c>
      <c r="P99" s="21" t="n">
        <f aca="false">IF(F99="쉼",0,IF(F99="",1,IFERROR(VALUE(LEFT(F99,1)),1)))</f>
        <v>1</v>
      </c>
      <c r="Q99" s="21" t="n">
        <f aca="false">IF(G99="쉼",0,IF(G99="",1,IFERROR(VALUE(LEFT(G99,1)),1)))</f>
        <v>1</v>
      </c>
    </row>
    <row r="100" customFormat="false" ht="15" hidden="false" customHeight="false" outlineLevel="0" collapsed="false">
      <c r="A100" s="22" t="n">
        <v>96</v>
      </c>
      <c r="B100" s="23"/>
      <c r="C100" s="23"/>
      <c r="D100" s="24"/>
      <c r="E100" s="24"/>
      <c r="F100" s="24"/>
      <c r="G100" s="24"/>
      <c r="H100" s="25" t="str">
        <f aca="false">IF(OR($B100="",$C100="",COUNTIF($D$4:$G$4,$B100)=0),"",IF($B100=H$4,$C100*정산!$C$4*(SUM($N100:$Q100)-N100),-$C100*정산!$C$4*N100))</f>
        <v/>
      </c>
      <c r="I100" s="25" t="str">
        <f aca="false">IF(OR($B100="",$C100="",COUNTIF($D$4:$G$4,$B100)=0),"",IF($B100=I$4,$C100*정산!$C$4*(SUM($N100:$Q100)-O100),-$C100*정산!$C$4*O100))</f>
        <v/>
      </c>
      <c r="J100" s="25" t="str">
        <f aca="false">IF(OR($B100="",$C100="",COUNTIF($D$4:$G$4,$B100)=0),"",IF($B100=J$4,$C100*정산!$C$4*(SUM($N100:$Q100)-P100),-$C100*정산!$C$4*P100))</f>
        <v/>
      </c>
      <c r="K100" s="25" t="str">
        <f aca="false">IF(OR($B100="",$C100="",COUNTIF($D$4:$G$4,$B100)=0),"",IF($B100=K$4,$C100*정산!$C$4*(SUM($N100:$Q100)-Q100),-$C100*정산!$C$4*Q100))</f>
        <v/>
      </c>
      <c r="L100" s="26" t="str">
        <f aca="false">IF(AND($B100="",$C100=""),"",IF($B100="","승자 선택!",IF($C100="","점수 입력!",IF(COUNTIF($D$4:$G$4,$B100)=0,"승자 이름?",IF(COUNTIF(D100:G100,"쉼")&lt;&gt;1,"쉼 1명 표시!",IF(INDEX(D100:G100,MATCH($B100,$D$4:$G$4,0))="쉼","승자가 쉼?","✓"))))))</f>
        <v/>
      </c>
      <c r="M100" s="27"/>
      <c r="N100" s="21" t="n">
        <f aca="false">IF(D100="쉼",0,IF(D100="",1,IFERROR(VALUE(LEFT(D100,1)),1)))</f>
        <v>1</v>
      </c>
      <c r="O100" s="21" t="n">
        <f aca="false">IF(E100="쉼",0,IF(E100="",1,IFERROR(VALUE(LEFT(E100,1)),1)))</f>
        <v>1</v>
      </c>
      <c r="P100" s="21" t="n">
        <f aca="false">IF(F100="쉼",0,IF(F100="",1,IFERROR(VALUE(LEFT(F100,1)),1)))</f>
        <v>1</v>
      </c>
      <c r="Q100" s="21" t="n">
        <f aca="false">IF(G100="쉼",0,IF(G100="",1,IFERROR(VALUE(LEFT(G100,1)),1)))</f>
        <v>1</v>
      </c>
    </row>
    <row r="101" customFormat="false" ht="15" hidden="false" customHeight="false" outlineLevel="0" collapsed="false">
      <c r="A101" s="22" t="n">
        <v>97</v>
      </c>
      <c r="B101" s="23"/>
      <c r="C101" s="23"/>
      <c r="D101" s="24"/>
      <c r="E101" s="24"/>
      <c r="F101" s="24"/>
      <c r="G101" s="24"/>
      <c r="H101" s="25" t="str">
        <f aca="false">IF(OR($B101="",$C101="",COUNTIF($D$4:$G$4,$B101)=0),"",IF($B101=H$4,$C101*정산!$C$4*(SUM($N101:$Q101)-N101),-$C101*정산!$C$4*N101))</f>
        <v/>
      </c>
      <c r="I101" s="25" t="str">
        <f aca="false">IF(OR($B101="",$C101="",COUNTIF($D$4:$G$4,$B101)=0),"",IF($B101=I$4,$C101*정산!$C$4*(SUM($N101:$Q101)-O101),-$C101*정산!$C$4*O101))</f>
        <v/>
      </c>
      <c r="J101" s="25" t="str">
        <f aca="false">IF(OR($B101="",$C101="",COUNTIF($D$4:$G$4,$B101)=0),"",IF($B101=J$4,$C101*정산!$C$4*(SUM($N101:$Q101)-P101),-$C101*정산!$C$4*P101))</f>
        <v/>
      </c>
      <c r="K101" s="25" t="str">
        <f aca="false">IF(OR($B101="",$C101="",COUNTIF($D$4:$G$4,$B101)=0),"",IF($B101=K$4,$C101*정산!$C$4*(SUM($N101:$Q101)-Q101),-$C101*정산!$C$4*Q101))</f>
        <v/>
      </c>
      <c r="L101" s="26" t="str">
        <f aca="false">IF(AND($B101="",$C101=""),"",IF($B101="","승자 선택!",IF($C101="","점수 입력!",IF(COUNTIF($D$4:$G$4,$B101)=0,"승자 이름?",IF(COUNTIF(D101:G101,"쉼")&lt;&gt;1,"쉼 1명 표시!",IF(INDEX(D101:G101,MATCH($B101,$D$4:$G$4,0))="쉼","승자가 쉼?","✓"))))))</f>
        <v/>
      </c>
      <c r="M101" s="27"/>
      <c r="N101" s="21" t="n">
        <f aca="false">IF(D101="쉼",0,IF(D101="",1,IFERROR(VALUE(LEFT(D101,1)),1)))</f>
        <v>1</v>
      </c>
      <c r="O101" s="21" t="n">
        <f aca="false">IF(E101="쉼",0,IF(E101="",1,IFERROR(VALUE(LEFT(E101,1)),1)))</f>
        <v>1</v>
      </c>
      <c r="P101" s="21" t="n">
        <f aca="false">IF(F101="쉼",0,IF(F101="",1,IFERROR(VALUE(LEFT(F101,1)),1)))</f>
        <v>1</v>
      </c>
      <c r="Q101" s="21" t="n">
        <f aca="false">IF(G101="쉼",0,IF(G101="",1,IFERROR(VALUE(LEFT(G101,1)),1)))</f>
        <v>1</v>
      </c>
    </row>
    <row r="102" customFormat="false" ht="15" hidden="false" customHeight="false" outlineLevel="0" collapsed="false">
      <c r="A102" s="22" t="n">
        <v>98</v>
      </c>
      <c r="B102" s="23"/>
      <c r="C102" s="23"/>
      <c r="D102" s="24"/>
      <c r="E102" s="24"/>
      <c r="F102" s="24"/>
      <c r="G102" s="24"/>
      <c r="H102" s="25" t="str">
        <f aca="false">IF(OR($B102="",$C102="",COUNTIF($D$4:$G$4,$B102)=0),"",IF($B102=H$4,$C102*정산!$C$4*(SUM($N102:$Q102)-N102),-$C102*정산!$C$4*N102))</f>
        <v/>
      </c>
      <c r="I102" s="25" t="str">
        <f aca="false">IF(OR($B102="",$C102="",COUNTIF($D$4:$G$4,$B102)=0),"",IF($B102=I$4,$C102*정산!$C$4*(SUM($N102:$Q102)-O102),-$C102*정산!$C$4*O102))</f>
        <v/>
      </c>
      <c r="J102" s="25" t="str">
        <f aca="false">IF(OR($B102="",$C102="",COUNTIF($D$4:$G$4,$B102)=0),"",IF($B102=J$4,$C102*정산!$C$4*(SUM($N102:$Q102)-P102),-$C102*정산!$C$4*P102))</f>
        <v/>
      </c>
      <c r="K102" s="25" t="str">
        <f aca="false">IF(OR($B102="",$C102="",COUNTIF($D$4:$G$4,$B102)=0),"",IF($B102=K$4,$C102*정산!$C$4*(SUM($N102:$Q102)-Q102),-$C102*정산!$C$4*Q102))</f>
        <v/>
      </c>
      <c r="L102" s="26" t="str">
        <f aca="false">IF(AND($B102="",$C102=""),"",IF($B102="","승자 선택!",IF($C102="","점수 입력!",IF(COUNTIF($D$4:$G$4,$B102)=0,"승자 이름?",IF(COUNTIF(D102:G102,"쉼")&lt;&gt;1,"쉼 1명 표시!",IF(INDEX(D102:G102,MATCH($B102,$D$4:$G$4,0))="쉼","승자가 쉼?","✓"))))))</f>
        <v/>
      </c>
      <c r="M102" s="27"/>
      <c r="N102" s="21" t="n">
        <f aca="false">IF(D102="쉼",0,IF(D102="",1,IFERROR(VALUE(LEFT(D102,1)),1)))</f>
        <v>1</v>
      </c>
      <c r="O102" s="21" t="n">
        <f aca="false">IF(E102="쉼",0,IF(E102="",1,IFERROR(VALUE(LEFT(E102,1)),1)))</f>
        <v>1</v>
      </c>
      <c r="P102" s="21" t="n">
        <f aca="false">IF(F102="쉼",0,IF(F102="",1,IFERROR(VALUE(LEFT(F102,1)),1)))</f>
        <v>1</v>
      </c>
      <c r="Q102" s="21" t="n">
        <f aca="false">IF(G102="쉼",0,IF(G102="",1,IFERROR(VALUE(LEFT(G102,1)),1)))</f>
        <v>1</v>
      </c>
    </row>
    <row r="103" customFormat="false" ht="15" hidden="false" customHeight="false" outlineLevel="0" collapsed="false">
      <c r="A103" s="22" t="n">
        <v>99</v>
      </c>
      <c r="B103" s="23"/>
      <c r="C103" s="23"/>
      <c r="D103" s="24"/>
      <c r="E103" s="24"/>
      <c r="F103" s="24"/>
      <c r="G103" s="24"/>
      <c r="H103" s="25" t="str">
        <f aca="false">IF(OR($B103="",$C103="",COUNTIF($D$4:$G$4,$B103)=0),"",IF($B103=H$4,$C103*정산!$C$4*(SUM($N103:$Q103)-N103),-$C103*정산!$C$4*N103))</f>
        <v/>
      </c>
      <c r="I103" s="25" t="str">
        <f aca="false">IF(OR($B103="",$C103="",COUNTIF($D$4:$G$4,$B103)=0),"",IF($B103=I$4,$C103*정산!$C$4*(SUM($N103:$Q103)-O103),-$C103*정산!$C$4*O103))</f>
        <v/>
      </c>
      <c r="J103" s="25" t="str">
        <f aca="false">IF(OR($B103="",$C103="",COUNTIF($D$4:$G$4,$B103)=0),"",IF($B103=J$4,$C103*정산!$C$4*(SUM($N103:$Q103)-P103),-$C103*정산!$C$4*P103))</f>
        <v/>
      </c>
      <c r="K103" s="25" t="str">
        <f aca="false">IF(OR($B103="",$C103="",COUNTIF($D$4:$G$4,$B103)=0),"",IF($B103=K$4,$C103*정산!$C$4*(SUM($N103:$Q103)-Q103),-$C103*정산!$C$4*Q103))</f>
        <v/>
      </c>
      <c r="L103" s="26" t="str">
        <f aca="false">IF(AND($B103="",$C103=""),"",IF($B103="","승자 선택!",IF($C103="","점수 입력!",IF(COUNTIF($D$4:$G$4,$B103)=0,"승자 이름?",IF(COUNTIF(D103:G103,"쉼")&lt;&gt;1,"쉼 1명 표시!",IF(INDEX(D103:G103,MATCH($B103,$D$4:$G$4,0))="쉼","승자가 쉼?","✓"))))))</f>
        <v/>
      </c>
      <c r="M103" s="27"/>
      <c r="N103" s="21" t="n">
        <f aca="false">IF(D103="쉼",0,IF(D103="",1,IFERROR(VALUE(LEFT(D103,1)),1)))</f>
        <v>1</v>
      </c>
      <c r="O103" s="21" t="n">
        <f aca="false">IF(E103="쉼",0,IF(E103="",1,IFERROR(VALUE(LEFT(E103,1)),1)))</f>
        <v>1</v>
      </c>
      <c r="P103" s="21" t="n">
        <f aca="false">IF(F103="쉼",0,IF(F103="",1,IFERROR(VALUE(LEFT(F103,1)),1)))</f>
        <v>1</v>
      </c>
      <c r="Q103" s="21" t="n">
        <f aca="false">IF(G103="쉼",0,IF(G103="",1,IFERROR(VALUE(LEFT(G103,1)),1)))</f>
        <v>1</v>
      </c>
    </row>
    <row r="104" customFormat="false" ht="15" hidden="false" customHeight="false" outlineLevel="0" collapsed="false">
      <c r="A104" s="22" t="n">
        <v>100</v>
      </c>
      <c r="B104" s="23"/>
      <c r="C104" s="23"/>
      <c r="D104" s="24"/>
      <c r="E104" s="24"/>
      <c r="F104" s="24"/>
      <c r="G104" s="24"/>
      <c r="H104" s="25" t="str">
        <f aca="false">IF(OR($B104="",$C104="",COUNTIF($D$4:$G$4,$B104)=0),"",IF($B104=H$4,$C104*정산!$C$4*(SUM($N104:$Q104)-N104),-$C104*정산!$C$4*N104))</f>
        <v/>
      </c>
      <c r="I104" s="25" t="str">
        <f aca="false">IF(OR($B104="",$C104="",COUNTIF($D$4:$G$4,$B104)=0),"",IF($B104=I$4,$C104*정산!$C$4*(SUM($N104:$Q104)-O104),-$C104*정산!$C$4*O104))</f>
        <v/>
      </c>
      <c r="J104" s="25" t="str">
        <f aca="false">IF(OR($B104="",$C104="",COUNTIF($D$4:$G$4,$B104)=0),"",IF($B104=J$4,$C104*정산!$C$4*(SUM($N104:$Q104)-P104),-$C104*정산!$C$4*P104))</f>
        <v/>
      </c>
      <c r="K104" s="25" t="str">
        <f aca="false">IF(OR($B104="",$C104="",COUNTIF($D$4:$G$4,$B104)=0),"",IF($B104=K$4,$C104*정산!$C$4*(SUM($N104:$Q104)-Q104),-$C104*정산!$C$4*Q104))</f>
        <v/>
      </c>
      <c r="L104" s="26" t="str">
        <f aca="false">IF(AND($B104="",$C104=""),"",IF($B104="","승자 선택!",IF($C104="","점수 입력!",IF(COUNTIF($D$4:$G$4,$B104)=0,"승자 이름?",IF(COUNTIF(D104:G104,"쉼")&lt;&gt;1,"쉼 1명 표시!",IF(INDEX(D104:G104,MATCH($B104,$D$4:$G$4,0))="쉼","승자가 쉼?","✓"))))))</f>
        <v/>
      </c>
      <c r="M104" s="27"/>
      <c r="N104" s="21" t="n">
        <f aca="false">IF(D104="쉼",0,IF(D104="",1,IFERROR(VALUE(LEFT(D104,1)),1)))</f>
        <v>1</v>
      </c>
      <c r="O104" s="21" t="n">
        <f aca="false">IF(E104="쉼",0,IF(E104="",1,IFERROR(VALUE(LEFT(E104,1)),1)))</f>
        <v>1</v>
      </c>
      <c r="P104" s="21" t="n">
        <f aca="false">IF(F104="쉼",0,IF(F104="",1,IFERROR(VALUE(LEFT(F104,1)),1)))</f>
        <v>1</v>
      </c>
      <c r="Q104" s="21" t="n">
        <f aca="false">IF(G104="쉼",0,IF(G104="",1,IFERROR(VALUE(LEFT(G104,1)),1)))</f>
        <v>1</v>
      </c>
    </row>
    <row r="105" customFormat="false" ht="15" hidden="false" customHeight="false" outlineLevel="0" collapsed="false">
      <c r="A105" s="22" t="n">
        <v>101</v>
      </c>
      <c r="B105" s="23"/>
      <c r="C105" s="23"/>
      <c r="D105" s="24"/>
      <c r="E105" s="24"/>
      <c r="F105" s="24"/>
      <c r="G105" s="24"/>
      <c r="H105" s="25" t="str">
        <f aca="false">IF(OR($B105="",$C105="",COUNTIF($D$4:$G$4,$B105)=0),"",IF($B105=H$4,$C105*정산!$C$4*(SUM($N105:$Q105)-N105),-$C105*정산!$C$4*N105))</f>
        <v/>
      </c>
      <c r="I105" s="25" t="str">
        <f aca="false">IF(OR($B105="",$C105="",COUNTIF($D$4:$G$4,$B105)=0),"",IF($B105=I$4,$C105*정산!$C$4*(SUM($N105:$Q105)-O105),-$C105*정산!$C$4*O105))</f>
        <v/>
      </c>
      <c r="J105" s="25" t="str">
        <f aca="false">IF(OR($B105="",$C105="",COUNTIF($D$4:$G$4,$B105)=0),"",IF($B105=J$4,$C105*정산!$C$4*(SUM($N105:$Q105)-P105),-$C105*정산!$C$4*P105))</f>
        <v/>
      </c>
      <c r="K105" s="25" t="str">
        <f aca="false">IF(OR($B105="",$C105="",COUNTIF($D$4:$G$4,$B105)=0),"",IF($B105=K$4,$C105*정산!$C$4*(SUM($N105:$Q105)-Q105),-$C105*정산!$C$4*Q105))</f>
        <v/>
      </c>
      <c r="L105" s="26" t="str">
        <f aca="false">IF(AND($B105="",$C105=""),"",IF($B105="","승자 선택!",IF($C105="","점수 입력!",IF(COUNTIF($D$4:$G$4,$B105)=0,"승자 이름?",IF(COUNTIF(D105:G105,"쉼")&lt;&gt;1,"쉼 1명 표시!",IF(INDEX(D105:G105,MATCH($B105,$D$4:$G$4,0))="쉼","승자가 쉼?","✓"))))))</f>
        <v/>
      </c>
      <c r="M105" s="27"/>
      <c r="N105" s="21" t="n">
        <f aca="false">IF(D105="쉼",0,IF(D105="",1,IFERROR(VALUE(LEFT(D105,1)),1)))</f>
        <v>1</v>
      </c>
      <c r="O105" s="21" t="n">
        <f aca="false">IF(E105="쉼",0,IF(E105="",1,IFERROR(VALUE(LEFT(E105,1)),1)))</f>
        <v>1</v>
      </c>
      <c r="P105" s="21" t="n">
        <f aca="false">IF(F105="쉼",0,IF(F105="",1,IFERROR(VALUE(LEFT(F105,1)),1)))</f>
        <v>1</v>
      </c>
      <c r="Q105" s="21" t="n">
        <f aca="false">IF(G105="쉼",0,IF(G105="",1,IFERROR(VALUE(LEFT(G105,1)),1)))</f>
        <v>1</v>
      </c>
    </row>
    <row r="106" customFormat="false" ht="15" hidden="false" customHeight="false" outlineLevel="0" collapsed="false">
      <c r="A106" s="22" t="n">
        <v>102</v>
      </c>
      <c r="B106" s="23"/>
      <c r="C106" s="23"/>
      <c r="D106" s="24"/>
      <c r="E106" s="24"/>
      <c r="F106" s="24"/>
      <c r="G106" s="24"/>
      <c r="H106" s="25" t="str">
        <f aca="false">IF(OR($B106="",$C106="",COUNTIF($D$4:$G$4,$B106)=0),"",IF($B106=H$4,$C106*정산!$C$4*(SUM($N106:$Q106)-N106),-$C106*정산!$C$4*N106))</f>
        <v/>
      </c>
      <c r="I106" s="25" t="str">
        <f aca="false">IF(OR($B106="",$C106="",COUNTIF($D$4:$G$4,$B106)=0),"",IF($B106=I$4,$C106*정산!$C$4*(SUM($N106:$Q106)-O106),-$C106*정산!$C$4*O106))</f>
        <v/>
      </c>
      <c r="J106" s="25" t="str">
        <f aca="false">IF(OR($B106="",$C106="",COUNTIF($D$4:$G$4,$B106)=0),"",IF($B106=J$4,$C106*정산!$C$4*(SUM($N106:$Q106)-P106),-$C106*정산!$C$4*P106))</f>
        <v/>
      </c>
      <c r="K106" s="25" t="str">
        <f aca="false">IF(OR($B106="",$C106="",COUNTIF($D$4:$G$4,$B106)=0),"",IF($B106=K$4,$C106*정산!$C$4*(SUM($N106:$Q106)-Q106),-$C106*정산!$C$4*Q106))</f>
        <v/>
      </c>
      <c r="L106" s="26" t="str">
        <f aca="false">IF(AND($B106="",$C106=""),"",IF($B106="","승자 선택!",IF($C106="","점수 입력!",IF(COUNTIF($D$4:$G$4,$B106)=0,"승자 이름?",IF(COUNTIF(D106:G106,"쉼")&lt;&gt;1,"쉼 1명 표시!",IF(INDEX(D106:G106,MATCH($B106,$D$4:$G$4,0))="쉼","승자가 쉼?","✓"))))))</f>
        <v/>
      </c>
      <c r="M106" s="27"/>
      <c r="N106" s="21" t="n">
        <f aca="false">IF(D106="쉼",0,IF(D106="",1,IFERROR(VALUE(LEFT(D106,1)),1)))</f>
        <v>1</v>
      </c>
      <c r="O106" s="21" t="n">
        <f aca="false">IF(E106="쉼",0,IF(E106="",1,IFERROR(VALUE(LEFT(E106,1)),1)))</f>
        <v>1</v>
      </c>
      <c r="P106" s="21" t="n">
        <f aca="false">IF(F106="쉼",0,IF(F106="",1,IFERROR(VALUE(LEFT(F106,1)),1)))</f>
        <v>1</v>
      </c>
      <c r="Q106" s="21" t="n">
        <f aca="false">IF(G106="쉼",0,IF(G106="",1,IFERROR(VALUE(LEFT(G106,1)),1)))</f>
        <v>1</v>
      </c>
    </row>
    <row r="107" customFormat="false" ht="15" hidden="false" customHeight="false" outlineLevel="0" collapsed="false">
      <c r="A107" s="22" t="n">
        <v>103</v>
      </c>
      <c r="B107" s="23"/>
      <c r="C107" s="23"/>
      <c r="D107" s="24"/>
      <c r="E107" s="24"/>
      <c r="F107" s="24"/>
      <c r="G107" s="24"/>
      <c r="H107" s="25" t="str">
        <f aca="false">IF(OR($B107="",$C107="",COUNTIF($D$4:$G$4,$B107)=0),"",IF($B107=H$4,$C107*정산!$C$4*(SUM($N107:$Q107)-N107),-$C107*정산!$C$4*N107))</f>
        <v/>
      </c>
      <c r="I107" s="25" t="str">
        <f aca="false">IF(OR($B107="",$C107="",COUNTIF($D$4:$G$4,$B107)=0),"",IF($B107=I$4,$C107*정산!$C$4*(SUM($N107:$Q107)-O107),-$C107*정산!$C$4*O107))</f>
        <v/>
      </c>
      <c r="J107" s="25" t="str">
        <f aca="false">IF(OR($B107="",$C107="",COUNTIF($D$4:$G$4,$B107)=0),"",IF($B107=J$4,$C107*정산!$C$4*(SUM($N107:$Q107)-P107),-$C107*정산!$C$4*P107))</f>
        <v/>
      </c>
      <c r="K107" s="25" t="str">
        <f aca="false">IF(OR($B107="",$C107="",COUNTIF($D$4:$G$4,$B107)=0),"",IF($B107=K$4,$C107*정산!$C$4*(SUM($N107:$Q107)-Q107),-$C107*정산!$C$4*Q107))</f>
        <v/>
      </c>
      <c r="L107" s="26" t="str">
        <f aca="false">IF(AND($B107="",$C107=""),"",IF($B107="","승자 선택!",IF($C107="","점수 입력!",IF(COUNTIF($D$4:$G$4,$B107)=0,"승자 이름?",IF(COUNTIF(D107:G107,"쉼")&lt;&gt;1,"쉼 1명 표시!",IF(INDEX(D107:G107,MATCH($B107,$D$4:$G$4,0))="쉼","승자가 쉼?","✓"))))))</f>
        <v/>
      </c>
      <c r="M107" s="27"/>
      <c r="N107" s="21" t="n">
        <f aca="false">IF(D107="쉼",0,IF(D107="",1,IFERROR(VALUE(LEFT(D107,1)),1)))</f>
        <v>1</v>
      </c>
      <c r="O107" s="21" t="n">
        <f aca="false">IF(E107="쉼",0,IF(E107="",1,IFERROR(VALUE(LEFT(E107,1)),1)))</f>
        <v>1</v>
      </c>
      <c r="P107" s="21" t="n">
        <f aca="false">IF(F107="쉼",0,IF(F107="",1,IFERROR(VALUE(LEFT(F107,1)),1)))</f>
        <v>1</v>
      </c>
      <c r="Q107" s="21" t="n">
        <f aca="false">IF(G107="쉼",0,IF(G107="",1,IFERROR(VALUE(LEFT(G107,1)),1)))</f>
        <v>1</v>
      </c>
    </row>
    <row r="108" customFormat="false" ht="15" hidden="false" customHeight="false" outlineLevel="0" collapsed="false">
      <c r="A108" s="22" t="n">
        <v>104</v>
      </c>
      <c r="B108" s="23"/>
      <c r="C108" s="23"/>
      <c r="D108" s="24"/>
      <c r="E108" s="24"/>
      <c r="F108" s="24"/>
      <c r="G108" s="24"/>
      <c r="H108" s="25" t="str">
        <f aca="false">IF(OR($B108="",$C108="",COUNTIF($D$4:$G$4,$B108)=0),"",IF($B108=H$4,$C108*정산!$C$4*(SUM($N108:$Q108)-N108),-$C108*정산!$C$4*N108))</f>
        <v/>
      </c>
      <c r="I108" s="25" t="str">
        <f aca="false">IF(OR($B108="",$C108="",COUNTIF($D$4:$G$4,$B108)=0),"",IF($B108=I$4,$C108*정산!$C$4*(SUM($N108:$Q108)-O108),-$C108*정산!$C$4*O108))</f>
        <v/>
      </c>
      <c r="J108" s="25" t="str">
        <f aca="false">IF(OR($B108="",$C108="",COUNTIF($D$4:$G$4,$B108)=0),"",IF($B108=J$4,$C108*정산!$C$4*(SUM($N108:$Q108)-P108),-$C108*정산!$C$4*P108))</f>
        <v/>
      </c>
      <c r="K108" s="25" t="str">
        <f aca="false">IF(OR($B108="",$C108="",COUNTIF($D$4:$G$4,$B108)=0),"",IF($B108=K$4,$C108*정산!$C$4*(SUM($N108:$Q108)-Q108),-$C108*정산!$C$4*Q108))</f>
        <v/>
      </c>
      <c r="L108" s="26" t="str">
        <f aca="false">IF(AND($B108="",$C108=""),"",IF($B108="","승자 선택!",IF($C108="","점수 입력!",IF(COUNTIF($D$4:$G$4,$B108)=0,"승자 이름?",IF(COUNTIF(D108:G108,"쉼")&lt;&gt;1,"쉼 1명 표시!",IF(INDEX(D108:G108,MATCH($B108,$D$4:$G$4,0))="쉼","승자가 쉼?","✓"))))))</f>
        <v/>
      </c>
      <c r="M108" s="27"/>
      <c r="N108" s="21" t="n">
        <f aca="false">IF(D108="쉼",0,IF(D108="",1,IFERROR(VALUE(LEFT(D108,1)),1)))</f>
        <v>1</v>
      </c>
      <c r="O108" s="21" t="n">
        <f aca="false">IF(E108="쉼",0,IF(E108="",1,IFERROR(VALUE(LEFT(E108,1)),1)))</f>
        <v>1</v>
      </c>
      <c r="P108" s="21" t="n">
        <f aca="false">IF(F108="쉼",0,IF(F108="",1,IFERROR(VALUE(LEFT(F108,1)),1)))</f>
        <v>1</v>
      </c>
      <c r="Q108" s="21" t="n">
        <f aca="false">IF(G108="쉼",0,IF(G108="",1,IFERROR(VALUE(LEFT(G108,1)),1)))</f>
        <v>1</v>
      </c>
    </row>
    <row r="109" customFormat="false" ht="15" hidden="false" customHeight="false" outlineLevel="0" collapsed="false">
      <c r="A109" s="22" t="n">
        <v>105</v>
      </c>
      <c r="B109" s="23"/>
      <c r="C109" s="23"/>
      <c r="D109" s="24"/>
      <c r="E109" s="24"/>
      <c r="F109" s="24"/>
      <c r="G109" s="24"/>
      <c r="H109" s="25" t="str">
        <f aca="false">IF(OR($B109="",$C109="",COUNTIF($D$4:$G$4,$B109)=0),"",IF($B109=H$4,$C109*정산!$C$4*(SUM($N109:$Q109)-N109),-$C109*정산!$C$4*N109))</f>
        <v/>
      </c>
      <c r="I109" s="25" t="str">
        <f aca="false">IF(OR($B109="",$C109="",COUNTIF($D$4:$G$4,$B109)=0),"",IF($B109=I$4,$C109*정산!$C$4*(SUM($N109:$Q109)-O109),-$C109*정산!$C$4*O109))</f>
        <v/>
      </c>
      <c r="J109" s="25" t="str">
        <f aca="false">IF(OR($B109="",$C109="",COUNTIF($D$4:$G$4,$B109)=0),"",IF($B109=J$4,$C109*정산!$C$4*(SUM($N109:$Q109)-P109),-$C109*정산!$C$4*P109))</f>
        <v/>
      </c>
      <c r="K109" s="25" t="str">
        <f aca="false">IF(OR($B109="",$C109="",COUNTIF($D$4:$G$4,$B109)=0),"",IF($B109=K$4,$C109*정산!$C$4*(SUM($N109:$Q109)-Q109),-$C109*정산!$C$4*Q109))</f>
        <v/>
      </c>
      <c r="L109" s="26" t="str">
        <f aca="false">IF(AND($B109="",$C109=""),"",IF($B109="","승자 선택!",IF($C109="","점수 입력!",IF(COUNTIF($D$4:$G$4,$B109)=0,"승자 이름?",IF(COUNTIF(D109:G109,"쉼")&lt;&gt;1,"쉼 1명 표시!",IF(INDEX(D109:G109,MATCH($B109,$D$4:$G$4,0))="쉼","승자가 쉼?","✓"))))))</f>
        <v/>
      </c>
      <c r="M109" s="27"/>
      <c r="N109" s="21" t="n">
        <f aca="false">IF(D109="쉼",0,IF(D109="",1,IFERROR(VALUE(LEFT(D109,1)),1)))</f>
        <v>1</v>
      </c>
      <c r="O109" s="21" t="n">
        <f aca="false">IF(E109="쉼",0,IF(E109="",1,IFERROR(VALUE(LEFT(E109,1)),1)))</f>
        <v>1</v>
      </c>
      <c r="P109" s="21" t="n">
        <f aca="false">IF(F109="쉼",0,IF(F109="",1,IFERROR(VALUE(LEFT(F109,1)),1)))</f>
        <v>1</v>
      </c>
      <c r="Q109" s="21" t="n">
        <f aca="false">IF(G109="쉼",0,IF(G109="",1,IFERROR(VALUE(LEFT(G109,1)),1)))</f>
        <v>1</v>
      </c>
    </row>
    <row r="110" customFormat="false" ht="15" hidden="false" customHeight="false" outlineLevel="0" collapsed="false">
      <c r="A110" s="22" t="n">
        <v>106</v>
      </c>
      <c r="B110" s="23"/>
      <c r="C110" s="23"/>
      <c r="D110" s="24"/>
      <c r="E110" s="24"/>
      <c r="F110" s="24"/>
      <c r="G110" s="24"/>
      <c r="H110" s="25" t="str">
        <f aca="false">IF(OR($B110="",$C110="",COUNTIF($D$4:$G$4,$B110)=0),"",IF($B110=H$4,$C110*정산!$C$4*(SUM($N110:$Q110)-N110),-$C110*정산!$C$4*N110))</f>
        <v/>
      </c>
      <c r="I110" s="25" t="str">
        <f aca="false">IF(OR($B110="",$C110="",COUNTIF($D$4:$G$4,$B110)=0),"",IF($B110=I$4,$C110*정산!$C$4*(SUM($N110:$Q110)-O110),-$C110*정산!$C$4*O110))</f>
        <v/>
      </c>
      <c r="J110" s="25" t="str">
        <f aca="false">IF(OR($B110="",$C110="",COUNTIF($D$4:$G$4,$B110)=0),"",IF($B110=J$4,$C110*정산!$C$4*(SUM($N110:$Q110)-P110),-$C110*정산!$C$4*P110))</f>
        <v/>
      </c>
      <c r="K110" s="25" t="str">
        <f aca="false">IF(OR($B110="",$C110="",COUNTIF($D$4:$G$4,$B110)=0),"",IF($B110=K$4,$C110*정산!$C$4*(SUM($N110:$Q110)-Q110),-$C110*정산!$C$4*Q110))</f>
        <v/>
      </c>
      <c r="L110" s="26" t="str">
        <f aca="false">IF(AND($B110="",$C110=""),"",IF($B110="","승자 선택!",IF($C110="","점수 입력!",IF(COUNTIF($D$4:$G$4,$B110)=0,"승자 이름?",IF(COUNTIF(D110:G110,"쉼")&lt;&gt;1,"쉼 1명 표시!",IF(INDEX(D110:G110,MATCH($B110,$D$4:$G$4,0))="쉼","승자가 쉼?","✓"))))))</f>
        <v/>
      </c>
      <c r="M110" s="27"/>
      <c r="N110" s="21" t="n">
        <f aca="false">IF(D110="쉼",0,IF(D110="",1,IFERROR(VALUE(LEFT(D110,1)),1)))</f>
        <v>1</v>
      </c>
      <c r="O110" s="21" t="n">
        <f aca="false">IF(E110="쉼",0,IF(E110="",1,IFERROR(VALUE(LEFT(E110,1)),1)))</f>
        <v>1</v>
      </c>
      <c r="P110" s="21" t="n">
        <f aca="false">IF(F110="쉼",0,IF(F110="",1,IFERROR(VALUE(LEFT(F110,1)),1)))</f>
        <v>1</v>
      </c>
      <c r="Q110" s="21" t="n">
        <f aca="false">IF(G110="쉼",0,IF(G110="",1,IFERROR(VALUE(LEFT(G110,1)),1)))</f>
        <v>1</v>
      </c>
    </row>
    <row r="111" customFormat="false" ht="15" hidden="false" customHeight="false" outlineLevel="0" collapsed="false">
      <c r="A111" s="22" t="n">
        <v>107</v>
      </c>
      <c r="B111" s="23"/>
      <c r="C111" s="23"/>
      <c r="D111" s="24"/>
      <c r="E111" s="24"/>
      <c r="F111" s="24"/>
      <c r="G111" s="24"/>
      <c r="H111" s="25" t="str">
        <f aca="false">IF(OR($B111="",$C111="",COUNTIF($D$4:$G$4,$B111)=0),"",IF($B111=H$4,$C111*정산!$C$4*(SUM($N111:$Q111)-N111),-$C111*정산!$C$4*N111))</f>
        <v/>
      </c>
      <c r="I111" s="25" t="str">
        <f aca="false">IF(OR($B111="",$C111="",COUNTIF($D$4:$G$4,$B111)=0),"",IF($B111=I$4,$C111*정산!$C$4*(SUM($N111:$Q111)-O111),-$C111*정산!$C$4*O111))</f>
        <v/>
      </c>
      <c r="J111" s="25" t="str">
        <f aca="false">IF(OR($B111="",$C111="",COUNTIF($D$4:$G$4,$B111)=0),"",IF($B111=J$4,$C111*정산!$C$4*(SUM($N111:$Q111)-P111),-$C111*정산!$C$4*P111))</f>
        <v/>
      </c>
      <c r="K111" s="25" t="str">
        <f aca="false">IF(OR($B111="",$C111="",COUNTIF($D$4:$G$4,$B111)=0),"",IF($B111=K$4,$C111*정산!$C$4*(SUM($N111:$Q111)-Q111),-$C111*정산!$C$4*Q111))</f>
        <v/>
      </c>
      <c r="L111" s="26" t="str">
        <f aca="false">IF(AND($B111="",$C111=""),"",IF($B111="","승자 선택!",IF($C111="","점수 입력!",IF(COUNTIF($D$4:$G$4,$B111)=0,"승자 이름?",IF(COUNTIF(D111:G111,"쉼")&lt;&gt;1,"쉼 1명 표시!",IF(INDEX(D111:G111,MATCH($B111,$D$4:$G$4,0))="쉼","승자가 쉼?","✓"))))))</f>
        <v/>
      </c>
      <c r="M111" s="27"/>
      <c r="N111" s="21" t="n">
        <f aca="false">IF(D111="쉼",0,IF(D111="",1,IFERROR(VALUE(LEFT(D111,1)),1)))</f>
        <v>1</v>
      </c>
      <c r="O111" s="21" t="n">
        <f aca="false">IF(E111="쉼",0,IF(E111="",1,IFERROR(VALUE(LEFT(E111,1)),1)))</f>
        <v>1</v>
      </c>
      <c r="P111" s="21" t="n">
        <f aca="false">IF(F111="쉼",0,IF(F111="",1,IFERROR(VALUE(LEFT(F111,1)),1)))</f>
        <v>1</v>
      </c>
      <c r="Q111" s="21" t="n">
        <f aca="false">IF(G111="쉼",0,IF(G111="",1,IFERROR(VALUE(LEFT(G111,1)),1)))</f>
        <v>1</v>
      </c>
    </row>
    <row r="112" customFormat="false" ht="15" hidden="false" customHeight="false" outlineLevel="0" collapsed="false">
      <c r="A112" s="22" t="n">
        <v>108</v>
      </c>
      <c r="B112" s="23"/>
      <c r="C112" s="23"/>
      <c r="D112" s="24"/>
      <c r="E112" s="24"/>
      <c r="F112" s="24"/>
      <c r="G112" s="24"/>
      <c r="H112" s="25" t="str">
        <f aca="false">IF(OR($B112="",$C112="",COUNTIF($D$4:$G$4,$B112)=0),"",IF($B112=H$4,$C112*정산!$C$4*(SUM($N112:$Q112)-N112),-$C112*정산!$C$4*N112))</f>
        <v/>
      </c>
      <c r="I112" s="25" t="str">
        <f aca="false">IF(OR($B112="",$C112="",COUNTIF($D$4:$G$4,$B112)=0),"",IF($B112=I$4,$C112*정산!$C$4*(SUM($N112:$Q112)-O112),-$C112*정산!$C$4*O112))</f>
        <v/>
      </c>
      <c r="J112" s="25" t="str">
        <f aca="false">IF(OR($B112="",$C112="",COUNTIF($D$4:$G$4,$B112)=0),"",IF($B112=J$4,$C112*정산!$C$4*(SUM($N112:$Q112)-P112),-$C112*정산!$C$4*P112))</f>
        <v/>
      </c>
      <c r="K112" s="25" t="str">
        <f aca="false">IF(OR($B112="",$C112="",COUNTIF($D$4:$G$4,$B112)=0),"",IF($B112=K$4,$C112*정산!$C$4*(SUM($N112:$Q112)-Q112),-$C112*정산!$C$4*Q112))</f>
        <v/>
      </c>
      <c r="L112" s="26" t="str">
        <f aca="false">IF(AND($B112="",$C112=""),"",IF($B112="","승자 선택!",IF($C112="","점수 입력!",IF(COUNTIF($D$4:$G$4,$B112)=0,"승자 이름?",IF(COUNTIF(D112:G112,"쉼")&lt;&gt;1,"쉼 1명 표시!",IF(INDEX(D112:G112,MATCH($B112,$D$4:$G$4,0))="쉼","승자가 쉼?","✓"))))))</f>
        <v/>
      </c>
      <c r="M112" s="27"/>
      <c r="N112" s="21" t="n">
        <f aca="false">IF(D112="쉼",0,IF(D112="",1,IFERROR(VALUE(LEFT(D112,1)),1)))</f>
        <v>1</v>
      </c>
      <c r="O112" s="21" t="n">
        <f aca="false">IF(E112="쉼",0,IF(E112="",1,IFERROR(VALUE(LEFT(E112,1)),1)))</f>
        <v>1</v>
      </c>
      <c r="P112" s="21" t="n">
        <f aca="false">IF(F112="쉼",0,IF(F112="",1,IFERROR(VALUE(LEFT(F112,1)),1)))</f>
        <v>1</v>
      </c>
      <c r="Q112" s="21" t="n">
        <f aca="false">IF(G112="쉼",0,IF(G112="",1,IFERROR(VALUE(LEFT(G112,1)),1)))</f>
        <v>1</v>
      </c>
    </row>
    <row r="113" customFormat="false" ht="15" hidden="false" customHeight="false" outlineLevel="0" collapsed="false">
      <c r="A113" s="22" t="n">
        <v>109</v>
      </c>
      <c r="B113" s="23"/>
      <c r="C113" s="23"/>
      <c r="D113" s="24"/>
      <c r="E113" s="24"/>
      <c r="F113" s="24"/>
      <c r="G113" s="24"/>
      <c r="H113" s="25" t="str">
        <f aca="false">IF(OR($B113="",$C113="",COUNTIF($D$4:$G$4,$B113)=0),"",IF($B113=H$4,$C113*정산!$C$4*(SUM($N113:$Q113)-N113),-$C113*정산!$C$4*N113))</f>
        <v/>
      </c>
      <c r="I113" s="25" t="str">
        <f aca="false">IF(OR($B113="",$C113="",COUNTIF($D$4:$G$4,$B113)=0),"",IF($B113=I$4,$C113*정산!$C$4*(SUM($N113:$Q113)-O113),-$C113*정산!$C$4*O113))</f>
        <v/>
      </c>
      <c r="J113" s="25" t="str">
        <f aca="false">IF(OR($B113="",$C113="",COUNTIF($D$4:$G$4,$B113)=0),"",IF($B113=J$4,$C113*정산!$C$4*(SUM($N113:$Q113)-P113),-$C113*정산!$C$4*P113))</f>
        <v/>
      </c>
      <c r="K113" s="25" t="str">
        <f aca="false">IF(OR($B113="",$C113="",COUNTIF($D$4:$G$4,$B113)=0),"",IF($B113=K$4,$C113*정산!$C$4*(SUM($N113:$Q113)-Q113),-$C113*정산!$C$4*Q113))</f>
        <v/>
      </c>
      <c r="L113" s="26" t="str">
        <f aca="false">IF(AND($B113="",$C113=""),"",IF($B113="","승자 선택!",IF($C113="","점수 입력!",IF(COUNTIF($D$4:$G$4,$B113)=0,"승자 이름?",IF(COUNTIF(D113:G113,"쉼")&lt;&gt;1,"쉼 1명 표시!",IF(INDEX(D113:G113,MATCH($B113,$D$4:$G$4,0))="쉼","승자가 쉼?","✓"))))))</f>
        <v/>
      </c>
      <c r="M113" s="27"/>
      <c r="N113" s="21" t="n">
        <f aca="false">IF(D113="쉼",0,IF(D113="",1,IFERROR(VALUE(LEFT(D113,1)),1)))</f>
        <v>1</v>
      </c>
      <c r="O113" s="21" t="n">
        <f aca="false">IF(E113="쉼",0,IF(E113="",1,IFERROR(VALUE(LEFT(E113,1)),1)))</f>
        <v>1</v>
      </c>
      <c r="P113" s="21" t="n">
        <f aca="false">IF(F113="쉼",0,IF(F113="",1,IFERROR(VALUE(LEFT(F113,1)),1)))</f>
        <v>1</v>
      </c>
      <c r="Q113" s="21" t="n">
        <f aca="false">IF(G113="쉼",0,IF(G113="",1,IFERROR(VALUE(LEFT(G113,1)),1)))</f>
        <v>1</v>
      </c>
    </row>
    <row r="114" customFormat="false" ht="15" hidden="false" customHeight="false" outlineLevel="0" collapsed="false">
      <c r="A114" s="22" t="n">
        <v>110</v>
      </c>
      <c r="B114" s="23"/>
      <c r="C114" s="23"/>
      <c r="D114" s="24"/>
      <c r="E114" s="24"/>
      <c r="F114" s="24"/>
      <c r="G114" s="24"/>
      <c r="H114" s="25" t="str">
        <f aca="false">IF(OR($B114="",$C114="",COUNTIF($D$4:$G$4,$B114)=0),"",IF($B114=H$4,$C114*정산!$C$4*(SUM($N114:$Q114)-N114),-$C114*정산!$C$4*N114))</f>
        <v/>
      </c>
      <c r="I114" s="25" t="str">
        <f aca="false">IF(OR($B114="",$C114="",COUNTIF($D$4:$G$4,$B114)=0),"",IF($B114=I$4,$C114*정산!$C$4*(SUM($N114:$Q114)-O114),-$C114*정산!$C$4*O114))</f>
        <v/>
      </c>
      <c r="J114" s="25" t="str">
        <f aca="false">IF(OR($B114="",$C114="",COUNTIF($D$4:$G$4,$B114)=0),"",IF($B114=J$4,$C114*정산!$C$4*(SUM($N114:$Q114)-P114),-$C114*정산!$C$4*P114))</f>
        <v/>
      </c>
      <c r="K114" s="25" t="str">
        <f aca="false">IF(OR($B114="",$C114="",COUNTIF($D$4:$G$4,$B114)=0),"",IF($B114=K$4,$C114*정산!$C$4*(SUM($N114:$Q114)-Q114),-$C114*정산!$C$4*Q114))</f>
        <v/>
      </c>
      <c r="L114" s="26" t="str">
        <f aca="false">IF(AND($B114="",$C114=""),"",IF($B114="","승자 선택!",IF($C114="","점수 입력!",IF(COUNTIF($D$4:$G$4,$B114)=0,"승자 이름?",IF(COUNTIF(D114:G114,"쉼")&lt;&gt;1,"쉼 1명 표시!",IF(INDEX(D114:G114,MATCH($B114,$D$4:$G$4,0))="쉼","승자가 쉼?","✓"))))))</f>
        <v/>
      </c>
      <c r="M114" s="27"/>
      <c r="N114" s="21" t="n">
        <f aca="false">IF(D114="쉼",0,IF(D114="",1,IFERROR(VALUE(LEFT(D114,1)),1)))</f>
        <v>1</v>
      </c>
      <c r="O114" s="21" t="n">
        <f aca="false">IF(E114="쉼",0,IF(E114="",1,IFERROR(VALUE(LEFT(E114,1)),1)))</f>
        <v>1</v>
      </c>
      <c r="P114" s="21" t="n">
        <f aca="false">IF(F114="쉼",0,IF(F114="",1,IFERROR(VALUE(LEFT(F114,1)),1)))</f>
        <v>1</v>
      </c>
      <c r="Q114" s="21" t="n">
        <f aca="false">IF(G114="쉼",0,IF(G114="",1,IFERROR(VALUE(LEFT(G114,1)),1)))</f>
        <v>1</v>
      </c>
    </row>
    <row r="115" customFormat="false" ht="15" hidden="false" customHeight="false" outlineLevel="0" collapsed="false">
      <c r="A115" s="22" t="n">
        <v>111</v>
      </c>
      <c r="B115" s="23"/>
      <c r="C115" s="23"/>
      <c r="D115" s="24"/>
      <c r="E115" s="24"/>
      <c r="F115" s="24"/>
      <c r="G115" s="24"/>
      <c r="H115" s="25" t="str">
        <f aca="false">IF(OR($B115="",$C115="",COUNTIF($D$4:$G$4,$B115)=0),"",IF($B115=H$4,$C115*정산!$C$4*(SUM($N115:$Q115)-N115),-$C115*정산!$C$4*N115))</f>
        <v/>
      </c>
      <c r="I115" s="25" t="str">
        <f aca="false">IF(OR($B115="",$C115="",COUNTIF($D$4:$G$4,$B115)=0),"",IF($B115=I$4,$C115*정산!$C$4*(SUM($N115:$Q115)-O115),-$C115*정산!$C$4*O115))</f>
        <v/>
      </c>
      <c r="J115" s="25" t="str">
        <f aca="false">IF(OR($B115="",$C115="",COUNTIF($D$4:$G$4,$B115)=0),"",IF($B115=J$4,$C115*정산!$C$4*(SUM($N115:$Q115)-P115),-$C115*정산!$C$4*P115))</f>
        <v/>
      </c>
      <c r="K115" s="25" t="str">
        <f aca="false">IF(OR($B115="",$C115="",COUNTIF($D$4:$G$4,$B115)=0),"",IF($B115=K$4,$C115*정산!$C$4*(SUM($N115:$Q115)-Q115),-$C115*정산!$C$4*Q115))</f>
        <v/>
      </c>
      <c r="L115" s="26" t="str">
        <f aca="false">IF(AND($B115="",$C115=""),"",IF($B115="","승자 선택!",IF($C115="","점수 입력!",IF(COUNTIF($D$4:$G$4,$B115)=0,"승자 이름?",IF(COUNTIF(D115:G115,"쉼")&lt;&gt;1,"쉼 1명 표시!",IF(INDEX(D115:G115,MATCH($B115,$D$4:$G$4,0))="쉼","승자가 쉼?","✓"))))))</f>
        <v/>
      </c>
      <c r="M115" s="27"/>
      <c r="N115" s="21" t="n">
        <f aca="false">IF(D115="쉼",0,IF(D115="",1,IFERROR(VALUE(LEFT(D115,1)),1)))</f>
        <v>1</v>
      </c>
      <c r="O115" s="21" t="n">
        <f aca="false">IF(E115="쉼",0,IF(E115="",1,IFERROR(VALUE(LEFT(E115,1)),1)))</f>
        <v>1</v>
      </c>
      <c r="P115" s="21" t="n">
        <f aca="false">IF(F115="쉼",0,IF(F115="",1,IFERROR(VALUE(LEFT(F115,1)),1)))</f>
        <v>1</v>
      </c>
      <c r="Q115" s="21" t="n">
        <f aca="false">IF(G115="쉼",0,IF(G115="",1,IFERROR(VALUE(LEFT(G115,1)),1)))</f>
        <v>1</v>
      </c>
    </row>
    <row r="116" customFormat="false" ht="15" hidden="false" customHeight="false" outlineLevel="0" collapsed="false">
      <c r="A116" s="22" t="n">
        <v>112</v>
      </c>
      <c r="B116" s="23"/>
      <c r="C116" s="23"/>
      <c r="D116" s="24"/>
      <c r="E116" s="24"/>
      <c r="F116" s="24"/>
      <c r="G116" s="24"/>
      <c r="H116" s="25" t="str">
        <f aca="false">IF(OR($B116="",$C116="",COUNTIF($D$4:$G$4,$B116)=0),"",IF($B116=H$4,$C116*정산!$C$4*(SUM($N116:$Q116)-N116),-$C116*정산!$C$4*N116))</f>
        <v/>
      </c>
      <c r="I116" s="25" t="str">
        <f aca="false">IF(OR($B116="",$C116="",COUNTIF($D$4:$G$4,$B116)=0),"",IF($B116=I$4,$C116*정산!$C$4*(SUM($N116:$Q116)-O116),-$C116*정산!$C$4*O116))</f>
        <v/>
      </c>
      <c r="J116" s="25" t="str">
        <f aca="false">IF(OR($B116="",$C116="",COUNTIF($D$4:$G$4,$B116)=0),"",IF($B116=J$4,$C116*정산!$C$4*(SUM($N116:$Q116)-P116),-$C116*정산!$C$4*P116))</f>
        <v/>
      </c>
      <c r="K116" s="25" t="str">
        <f aca="false">IF(OR($B116="",$C116="",COUNTIF($D$4:$G$4,$B116)=0),"",IF($B116=K$4,$C116*정산!$C$4*(SUM($N116:$Q116)-Q116),-$C116*정산!$C$4*Q116))</f>
        <v/>
      </c>
      <c r="L116" s="26" t="str">
        <f aca="false">IF(AND($B116="",$C116=""),"",IF($B116="","승자 선택!",IF($C116="","점수 입력!",IF(COUNTIF($D$4:$G$4,$B116)=0,"승자 이름?",IF(COUNTIF(D116:G116,"쉼")&lt;&gt;1,"쉼 1명 표시!",IF(INDEX(D116:G116,MATCH($B116,$D$4:$G$4,0))="쉼","승자가 쉼?","✓"))))))</f>
        <v/>
      </c>
      <c r="M116" s="27"/>
      <c r="N116" s="21" t="n">
        <f aca="false">IF(D116="쉼",0,IF(D116="",1,IFERROR(VALUE(LEFT(D116,1)),1)))</f>
        <v>1</v>
      </c>
      <c r="O116" s="21" t="n">
        <f aca="false">IF(E116="쉼",0,IF(E116="",1,IFERROR(VALUE(LEFT(E116,1)),1)))</f>
        <v>1</v>
      </c>
      <c r="P116" s="21" t="n">
        <f aca="false">IF(F116="쉼",0,IF(F116="",1,IFERROR(VALUE(LEFT(F116,1)),1)))</f>
        <v>1</v>
      </c>
      <c r="Q116" s="21" t="n">
        <f aca="false">IF(G116="쉼",0,IF(G116="",1,IFERROR(VALUE(LEFT(G116,1)),1)))</f>
        <v>1</v>
      </c>
    </row>
    <row r="117" customFormat="false" ht="15" hidden="false" customHeight="false" outlineLevel="0" collapsed="false">
      <c r="A117" s="22" t="n">
        <v>113</v>
      </c>
      <c r="B117" s="23"/>
      <c r="C117" s="23"/>
      <c r="D117" s="24"/>
      <c r="E117" s="24"/>
      <c r="F117" s="24"/>
      <c r="G117" s="24"/>
      <c r="H117" s="25" t="str">
        <f aca="false">IF(OR($B117="",$C117="",COUNTIF($D$4:$G$4,$B117)=0),"",IF($B117=H$4,$C117*정산!$C$4*(SUM($N117:$Q117)-N117),-$C117*정산!$C$4*N117))</f>
        <v/>
      </c>
      <c r="I117" s="25" t="str">
        <f aca="false">IF(OR($B117="",$C117="",COUNTIF($D$4:$G$4,$B117)=0),"",IF($B117=I$4,$C117*정산!$C$4*(SUM($N117:$Q117)-O117),-$C117*정산!$C$4*O117))</f>
        <v/>
      </c>
      <c r="J117" s="25" t="str">
        <f aca="false">IF(OR($B117="",$C117="",COUNTIF($D$4:$G$4,$B117)=0),"",IF($B117=J$4,$C117*정산!$C$4*(SUM($N117:$Q117)-P117),-$C117*정산!$C$4*P117))</f>
        <v/>
      </c>
      <c r="K117" s="25" t="str">
        <f aca="false">IF(OR($B117="",$C117="",COUNTIF($D$4:$G$4,$B117)=0),"",IF($B117=K$4,$C117*정산!$C$4*(SUM($N117:$Q117)-Q117),-$C117*정산!$C$4*Q117))</f>
        <v/>
      </c>
      <c r="L117" s="26" t="str">
        <f aca="false">IF(AND($B117="",$C117=""),"",IF($B117="","승자 선택!",IF($C117="","점수 입력!",IF(COUNTIF($D$4:$G$4,$B117)=0,"승자 이름?",IF(COUNTIF(D117:G117,"쉼")&lt;&gt;1,"쉼 1명 표시!",IF(INDEX(D117:G117,MATCH($B117,$D$4:$G$4,0))="쉼","승자가 쉼?","✓"))))))</f>
        <v/>
      </c>
      <c r="M117" s="27"/>
      <c r="N117" s="21" t="n">
        <f aca="false">IF(D117="쉼",0,IF(D117="",1,IFERROR(VALUE(LEFT(D117,1)),1)))</f>
        <v>1</v>
      </c>
      <c r="O117" s="21" t="n">
        <f aca="false">IF(E117="쉼",0,IF(E117="",1,IFERROR(VALUE(LEFT(E117,1)),1)))</f>
        <v>1</v>
      </c>
      <c r="P117" s="21" t="n">
        <f aca="false">IF(F117="쉼",0,IF(F117="",1,IFERROR(VALUE(LEFT(F117,1)),1)))</f>
        <v>1</v>
      </c>
      <c r="Q117" s="21" t="n">
        <f aca="false">IF(G117="쉼",0,IF(G117="",1,IFERROR(VALUE(LEFT(G117,1)),1)))</f>
        <v>1</v>
      </c>
    </row>
    <row r="118" customFormat="false" ht="15" hidden="false" customHeight="false" outlineLevel="0" collapsed="false">
      <c r="A118" s="22" t="n">
        <v>114</v>
      </c>
      <c r="B118" s="23"/>
      <c r="C118" s="23"/>
      <c r="D118" s="24"/>
      <c r="E118" s="24"/>
      <c r="F118" s="24"/>
      <c r="G118" s="24"/>
      <c r="H118" s="25" t="str">
        <f aca="false">IF(OR($B118="",$C118="",COUNTIF($D$4:$G$4,$B118)=0),"",IF($B118=H$4,$C118*정산!$C$4*(SUM($N118:$Q118)-N118),-$C118*정산!$C$4*N118))</f>
        <v/>
      </c>
      <c r="I118" s="25" t="str">
        <f aca="false">IF(OR($B118="",$C118="",COUNTIF($D$4:$G$4,$B118)=0),"",IF($B118=I$4,$C118*정산!$C$4*(SUM($N118:$Q118)-O118),-$C118*정산!$C$4*O118))</f>
        <v/>
      </c>
      <c r="J118" s="25" t="str">
        <f aca="false">IF(OR($B118="",$C118="",COUNTIF($D$4:$G$4,$B118)=0),"",IF($B118=J$4,$C118*정산!$C$4*(SUM($N118:$Q118)-P118),-$C118*정산!$C$4*P118))</f>
        <v/>
      </c>
      <c r="K118" s="25" t="str">
        <f aca="false">IF(OR($B118="",$C118="",COUNTIF($D$4:$G$4,$B118)=0),"",IF($B118=K$4,$C118*정산!$C$4*(SUM($N118:$Q118)-Q118),-$C118*정산!$C$4*Q118))</f>
        <v/>
      </c>
      <c r="L118" s="26" t="str">
        <f aca="false">IF(AND($B118="",$C118=""),"",IF($B118="","승자 선택!",IF($C118="","점수 입력!",IF(COUNTIF($D$4:$G$4,$B118)=0,"승자 이름?",IF(COUNTIF(D118:G118,"쉼")&lt;&gt;1,"쉼 1명 표시!",IF(INDEX(D118:G118,MATCH($B118,$D$4:$G$4,0))="쉼","승자가 쉼?","✓"))))))</f>
        <v/>
      </c>
      <c r="M118" s="27"/>
      <c r="N118" s="21" t="n">
        <f aca="false">IF(D118="쉼",0,IF(D118="",1,IFERROR(VALUE(LEFT(D118,1)),1)))</f>
        <v>1</v>
      </c>
      <c r="O118" s="21" t="n">
        <f aca="false">IF(E118="쉼",0,IF(E118="",1,IFERROR(VALUE(LEFT(E118,1)),1)))</f>
        <v>1</v>
      </c>
      <c r="P118" s="21" t="n">
        <f aca="false">IF(F118="쉼",0,IF(F118="",1,IFERROR(VALUE(LEFT(F118,1)),1)))</f>
        <v>1</v>
      </c>
      <c r="Q118" s="21" t="n">
        <f aca="false">IF(G118="쉼",0,IF(G118="",1,IFERROR(VALUE(LEFT(G118,1)),1)))</f>
        <v>1</v>
      </c>
    </row>
    <row r="119" customFormat="false" ht="15" hidden="false" customHeight="false" outlineLevel="0" collapsed="false">
      <c r="A119" s="22" t="n">
        <v>115</v>
      </c>
      <c r="B119" s="23"/>
      <c r="C119" s="23"/>
      <c r="D119" s="24"/>
      <c r="E119" s="24"/>
      <c r="F119" s="24"/>
      <c r="G119" s="24"/>
      <c r="H119" s="25" t="str">
        <f aca="false">IF(OR($B119="",$C119="",COUNTIF($D$4:$G$4,$B119)=0),"",IF($B119=H$4,$C119*정산!$C$4*(SUM($N119:$Q119)-N119),-$C119*정산!$C$4*N119))</f>
        <v/>
      </c>
      <c r="I119" s="25" t="str">
        <f aca="false">IF(OR($B119="",$C119="",COUNTIF($D$4:$G$4,$B119)=0),"",IF($B119=I$4,$C119*정산!$C$4*(SUM($N119:$Q119)-O119),-$C119*정산!$C$4*O119))</f>
        <v/>
      </c>
      <c r="J119" s="25" t="str">
        <f aca="false">IF(OR($B119="",$C119="",COUNTIF($D$4:$G$4,$B119)=0),"",IF($B119=J$4,$C119*정산!$C$4*(SUM($N119:$Q119)-P119),-$C119*정산!$C$4*P119))</f>
        <v/>
      </c>
      <c r="K119" s="25" t="str">
        <f aca="false">IF(OR($B119="",$C119="",COUNTIF($D$4:$G$4,$B119)=0),"",IF($B119=K$4,$C119*정산!$C$4*(SUM($N119:$Q119)-Q119),-$C119*정산!$C$4*Q119))</f>
        <v/>
      </c>
      <c r="L119" s="26" t="str">
        <f aca="false">IF(AND($B119="",$C119=""),"",IF($B119="","승자 선택!",IF($C119="","점수 입력!",IF(COUNTIF($D$4:$G$4,$B119)=0,"승자 이름?",IF(COUNTIF(D119:G119,"쉼")&lt;&gt;1,"쉼 1명 표시!",IF(INDEX(D119:G119,MATCH($B119,$D$4:$G$4,0))="쉼","승자가 쉼?","✓"))))))</f>
        <v/>
      </c>
      <c r="M119" s="27"/>
      <c r="N119" s="21" t="n">
        <f aca="false">IF(D119="쉼",0,IF(D119="",1,IFERROR(VALUE(LEFT(D119,1)),1)))</f>
        <v>1</v>
      </c>
      <c r="O119" s="21" t="n">
        <f aca="false">IF(E119="쉼",0,IF(E119="",1,IFERROR(VALUE(LEFT(E119,1)),1)))</f>
        <v>1</v>
      </c>
      <c r="P119" s="21" t="n">
        <f aca="false">IF(F119="쉼",0,IF(F119="",1,IFERROR(VALUE(LEFT(F119,1)),1)))</f>
        <v>1</v>
      </c>
      <c r="Q119" s="21" t="n">
        <f aca="false">IF(G119="쉼",0,IF(G119="",1,IFERROR(VALUE(LEFT(G119,1)),1)))</f>
        <v>1</v>
      </c>
    </row>
    <row r="120" customFormat="false" ht="15" hidden="false" customHeight="false" outlineLevel="0" collapsed="false">
      <c r="A120" s="22" t="n">
        <v>116</v>
      </c>
      <c r="B120" s="23"/>
      <c r="C120" s="23"/>
      <c r="D120" s="24"/>
      <c r="E120" s="24"/>
      <c r="F120" s="24"/>
      <c r="G120" s="24"/>
      <c r="H120" s="25" t="str">
        <f aca="false">IF(OR($B120="",$C120="",COUNTIF($D$4:$G$4,$B120)=0),"",IF($B120=H$4,$C120*정산!$C$4*(SUM($N120:$Q120)-N120),-$C120*정산!$C$4*N120))</f>
        <v/>
      </c>
      <c r="I120" s="25" t="str">
        <f aca="false">IF(OR($B120="",$C120="",COUNTIF($D$4:$G$4,$B120)=0),"",IF($B120=I$4,$C120*정산!$C$4*(SUM($N120:$Q120)-O120),-$C120*정산!$C$4*O120))</f>
        <v/>
      </c>
      <c r="J120" s="25" t="str">
        <f aca="false">IF(OR($B120="",$C120="",COUNTIF($D$4:$G$4,$B120)=0),"",IF($B120=J$4,$C120*정산!$C$4*(SUM($N120:$Q120)-P120),-$C120*정산!$C$4*P120))</f>
        <v/>
      </c>
      <c r="K120" s="25" t="str">
        <f aca="false">IF(OR($B120="",$C120="",COUNTIF($D$4:$G$4,$B120)=0),"",IF($B120=K$4,$C120*정산!$C$4*(SUM($N120:$Q120)-Q120),-$C120*정산!$C$4*Q120))</f>
        <v/>
      </c>
      <c r="L120" s="26" t="str">
        <f aca="false">IF(AND($B120="",$C120=""),"",IF($B120="","승자 선택!",IF($C120="","점수 입력!",IF(COUNTIF($D$4:$G$4,$B120)=0,"승자 이름?",IF(COUNTIF(D120:G120,"쉼")&lt;&gt;1,"쉼 1명 표시!",IF(INDEX(D120:G120,MATCH($B120,$D$4:$G$4,0))="쉼","승자가 쉼?","✓"))))))</f>
        <v/>
      </c>
      <c r="M120" s="27"/>
      <c r="N120" s="21" t="n">
        <f aca="false">IF(D120="쉼",0,IF(D120="",1,IFERROR(VALUE(LEFT(D120,1)),1)))</f>
        <v>1</v>
      </c>
      <c r="O120" s="21" t="n">
        <f aca="false">IF(E120="쉼",0,IF(E120="",1,IFERROR(VALUE(LEFT(E120,1)),1)))</f>
        <v>1</v>
      </c>
      <c r="P120" s="21" t="n">
        <f aca="false">IF(F120="쉼",0,IF(F120="",1,IFERROR(VALUE(LEFT(F120,1)),1)))</f>
        <v>1</v>
      </c>
      <c r="Q120" s="21" t="n">
        <f aca="false">IF(G120="쉼",0,IF(G120="",1,IFERROR(VALUE(LEFT(G120,1)),1)))</f>
        <v>1</v>
      </c>
    </row>
    <row r="121" customFormat="false" ht="15" hidden="false" customHeight="false" outlineLevel="0" collapsed="false">
      <c r="A121" s="22" t="n">
        <v>117</v>
      </c>
      <c r="B121" s="23"/>
      <c r="C121" s="23"/>
      <c r="D121" s="24"/>
      <c r="E121" s="24"/>
      <c r="F121" s="24"/>
      <c r="G121" s="24"/>
      <c r="H121" s="25" t="str">
        <f aca="false">IF(OR($B121="",$C121="",COUNTIF($D$4:$G$4,$B121)=0),"",IF($B121=H$4,$C121*정산!$C$4*(SUM($N121:$Q121)-N121),-$C121*정산!$C$4*N121))</f>
        <v/>
      </c>
      <c r="I121" s="25" t="str">
        <f aca="false">IF(OR($B121="",$C121="",COUNTIF($D$4:$G$4,$B121)=0),"",IF($B121=I$4,$C121*정산!$C$4*(SUM($N121:$Q121)-O121),-$C121*정산!$C$4*O121))</f>
        <v/>
      </c>
      <c r="J121" s="25" t="str">
        <f aca="false">IF(OR($B121="",$C121="",COUNTIF($D$4:$G$4,$B121)=0),"",IF($B121=J$4,$C121*정산!$C$4*(SUM($N121:$Q121)-P121),-$C121*정산!$C$4*P121))</f>
        <v/>
      </c>
      <c r="K121" s="25" t="str">
        <f aca="false">IF(OR($B121="",$C121="",COUNTIF($D$4:$G$4,$B121)=0),"",IF($B121=K$4,$C121*정산!$C$4*(SUM($N121:$Q121)-Q121),-$C121*정산!$C$4*Q121))</f>
        <v/>
      </c>
      <c r="L121" s="26" t="str">
        <f aca="false">IF(AND($B121="",$C121=""),"",IF($B121="","승자 선택!",IF($C121="","점수 입력!",IF(COUNTIF($D$4:$G$4,$B121)=0,"승자 이름?",IF(COUNTIF(D121:G121,"쉼")&lt;&gt;1,"쉼 1명 표시!",IF(INDEX(D121:G121,MATCH($B121,$D$4:$G$4,0))="쉼","승자가 쉼?","✓"))))))</f>
        <v/>
      </c>
      <c r="M121" s="27"/>
      <c r="N121" s="21" t="n">
        <f aca="false">IF(D121="쉼",0,IF(D121="",1,IFERROR(VALUE(LEFT(D121,1)),1)))</f>
        <v>1</v>
      </c>
      <c r="O121" s="21" t="n">
        <f aca="false">IF(E121="쉼",0,IF(E121="",1,IFERROR(VALUE(LEFT(E121,1)),1)))</f>
        <v>1</v>
      </c>
      <c r="P121" s="21" t="n">
        <f aca="false">IF(F121="쉼",0,IF(F121="",1,IFERROR(VALUE(LEFT(F121,1)),1)))</f>
        <v>1</v>
      </c>
      <c r="Q121" s="21" t="n">
        <f aca="false">IF(G121="쉼",0,IF(G121="",1,IFERROR(VALUE(LEFT(G121,1)),1)))</f>
        <v>1</v>
      </c>
    </row>
    <row r="122" customFormat="false" ht="15" hidden="false" customHeight="false" outlineLevel="0" collapsed="false">
      <c r="A122" s="22" t="n">
        <v>118</v>
      </c>
      <c r="B122" s="23"/>
      <c r="C122" s="23"/>
      <c r="D122" s="24"/>
      <c r="E122" s="24"/>
      <c r="F122" s="24"/>
      <c r="G122" s="24"/>
      <c r="H122" s="25" t="str">
        <f aca="false">IF(OR($B122="",$C122="",COUNTIF($D$4:$G$4,$B122)=0),"",IF($B122=H$4,$C122*정산!$C$4*(SUM($N122:$Q122)-N122),-$C122*정산!$C$4*N122))</f>
        <v/>
      </c>
      <c r="I122" s="25" t="str">
        <f aca="false">IF(OR($B122="",$C122="",COUNTIF($D$4:$G$4,$B122)=0),"",IF($B122=I$4,$C122*정산!$C$4*(SUM($N122:$Q122)-O122),-$C122*정산!$C$4*O122))</f>
        <v/>
      </c>
      <c r="J122" s="25" t="str">
        <f aca="false">IF(OR($B122="",$C122="",COUNTIF($D$4:$G$4,$B122)=0),"",IF($B122=J$4,$C122*정산!$C$4*(SUM($N122:$Q122)-P122),-$C122*정산!$C$4*P122))</f>
        <v/>
      </c>
      <c r="K122" s="25" t="str">
        <f aca="false">IF(OR($B122="",$C122="",COUNTIF($D$4:$G$4,$B122)=0),"",IF($B122=K$4,$C122*정산!$C$4*(SUM($N122:$Q122)-Q122),-$C122*정산!$C$4*Q122))</f>
        <v/>
      </c>
      <c r="L122" s="26" t="str">
        <f aca="false">IF(AND($B122="",$C122=""),"",IF($B122="","승자 선택!",IF($C122="","점수 입력!",IF(COUNTIF($D$4:$G$4,$B122)=0,"승자 이름?",IF(COUNTIF(D122:G122,"쉼")&lt;&gt;1,"쉼 1명 표시!",IF(INDEX(D122:G122,MATCH($B122,$D$4:$G$4,0))="쉼","승자가 쉼?","✓"))))))</f>
        <v/>
      </c>
      <c r="M122" s="27"/>
      <c r="N122" s="21" t="n">
        <f aca="false">IF(D122="쉼",0,IF(D122="",1,IFERROR(VALUE(LEFT(D122,1)),1)))</f>
        <v>1</v>
      </c>
      <c r="O122" s="21" t="n">
        <f aca="false">IF(E122="쉼",0,IF(E122="",1,IFERROR(VALUE(LEFT(E122,1)),1)))</f>
        <v>1</v>
      </c>
      <c r="P122" s="21" t="n">
        <f aca="false">IF(F122="쉼",0,IF(F122="",1,IFERROR(VALUE(LEFT(F122,1)),1)))</f>
        <v>1</v>
      </c>
      <c r="Q122" s="21" t="n">
        <f aca="false">IF(G122="쉼",0,IF(G122="",1,IFERROR(VALUE(LEFT(G122,1)),1)))</f>
        <v>1</v>
      </c>
    </row>
    <row r="123" customFormat="false" ht="15" hidden="false" customHeight="false" outlineLevel="0" collapsed="false">
      <c r="A123" s="22" t="n">
        <v>119</v>
      </c>
      <c r="B123" s="23"/>
      <c r="C123" s="23"/>
      <c r="D123" s="24"/>
      <c r="E123" s="24"/>
      <c r="F123" s="24"/>
      <c r="G123" s="24"/>
      <c r="H123" s="25" t="str">
        <f aca="false">IF(OR($B123="",$C123="",COUNTIF($D$4:$G$4,$B123)=0),"",IF($B123=H$4,$C123*정산!$C$4*(SUM($N123:$Q123)-N123),-$C123*정산!$C$4*N123))</f>
        <v/>
      </c>
      <c r="I123" s="25" t="str">
        <f aca="false">IF(OR($B123="",$C123="",COUNTIF($D$4:$G$4,$B123)=0),"",IF($B123=I$4,$C123*정산!$C$4*(SUM($N123:$Q123)-O123),-$C123*정산!$C$4*O123))</f>
        <v/>
      </c>
      <c r="J123" s="25" t="str">
        <f aca="false">IF(OR($B123="",$C123="",COUNTIF($D$4:$G$4,$B123)=0),"",IF($B123=J$4,$C123*정산!$C$4*(SUM($N123:$Q123)-P123),-$C123*정산!$C$4*P123))</f>
        <v/>
      </c>
      <c r="K123" s="25" t="str">
        <f aca="false">IF(OR($B123="",$C123="",COUNTIF($D$4:$G$4,$B123)=0),"",IF($B123=K$4,$C123*정산!$C$4*(SUM($N123:$Q123)-Q123),-$C123*정산!$C$4*Q123))</f>
        <v/>
      </c>
      <c r="L123" s="26" t="str">
        <f aca="false">IF(AND($B123="",$C123=""),"",IF($B123="","승자 선택!",IF($C123="","점수 입력!",IF(COUNTIF($D$4:$G$4,$B123)=0,"승자 이름?",IF(COUNTIF(D123:G123,"쉼")&lt;&gt;1,"쉼 1명 표시!",IF(INDEX(D123:G123,MATCH($B123,$D$4:$G$4,0))="쉼","승자가 쉼?","✓"))))))</f>
        <v/>
      </c>
      <c r="M123" s="27"/>
      <c r="N123" s="21" t="n">
        <f aca="false">IF(D123="쉼",0,IF(D123="",1,IFERROR(VALUE(LEFT(D123,1)),1)))</f>
        <v>1</v>
      </c>
      <c r="O123" s="21" t="n">
        <f aca="false">IF(E123="쉼",0,IF(E123="",1,IFERROR(VALUE(LEFT(E123,1)),1)))</f>
        <v>1</v>
      </c>
      <c r="P123" s="21" t="n">
        <f aca="false">IF(F123="쉼",0,IF(F123="",1,IFERROR(VALUE(LEFT(F123,1)),1)))</f>
        <v>1</v>
      </c>
      <c r="Q123" s="21" t="n">
        <f aca="false">IF(G123="쉼",0,IF(G123="",1,IFERROR(VALUE(LEFT(G123,1)),1)))</f>
        <v>1</v>
      </c>
    </row>
    <row r="124" customFormat="false" ht="15" hidden="false" customHeight="false" outlineLevel="0" collapsed="false">
      <c r="A124" s="22" t="n">
        <v>120</v>
      </c>
      <c r="B124" s="23"/>
      <c r="C124" s="23"/>
      <c r="D124" s="24"/>
      <c r="E124" s="24"/>
      <c r="F124" s="24"/>
      <c r="G124" s="24"/>
      <c r="H124" s="25" t="str">
        <f aca="false">IF(OR($B124="",$C124="",COUNTIF($D$4:$G$4,$B124)=0),"",IF($B124=H$4,$C124*정산!$C$4*(SUM($N124:$Q124)-N124),-$C124*정산!$C$4*N124))</f>
        <v/>
      </c>
      <c r="I124" s="25" t="str">
        <f aca="false">IF(OR($B124="",$C124="",COUNTIF($D$4:$G$4,$B124)=0),"",IF($B124=I$4,$C124*정산!$C$4*(SUM($N124:$Q124)-O124),-$C124*정산!$C$4*O124))</f>
        <v/>
      </c>
      <c r="J124" s="25" t="str">
        <f aca="false">IF(OR($B124="",$C124="",COUNTIF($D$4:$G$4,$B124)=0),"",IF($B124=J$4,$C124*정산!$C$4*(SUM($N124:$Q124)-P124),-$C124*정산!$C$4*P124))</f>
        <v/>
      </c>
      <c r="K124" s="25" t="str">
        <f aca="false">IF(OR($B124="",$C124="",COUNTIF($D$4:$G$4,$B124)=0),"",IF($B124=K$4,$C124*정산!$C$4*(SUM($N124:$Q124)-Q124),-$C124*정산!$C$4*Q124))</f>
        <v/>
      </c>
      <c r="L124" s="26" t="str">
        <f aca="false">IF(AND($B124="",$C124=""),"",IF($B124="","승자 선택!",IF($C124="","점수 입력!",IF(COUNTIF($D$4:$G$4,$B124)=0,"승자 이름?",IF(COUNTIF(D124:G124,"쉼")&lt;&gt;1,"쉼 1명 표시!",IF(INDEX(D124:G124,MATCH($B124,$D$4:$G$4,0))="쉼","승자가 쉼?","✓"))))))</f>
        <v/>
      </c>
      <c r="M124" s="27"/>
      <c r="N124" s="21" t="n">
        <f aca="false">IF(D124="쉼",0,IF(D124="",1,IFERROR(VALUE(LEFT(D124,1)),1)))</f>
        <v>1</v>
      </c>
      <c r="O124" s="21" t="n">
        <f aca="false">IF(E124="쉼",0,IF(E124="",1,IFERROR(VALUE(LEFT(E124,1)),1)))</f>
        <v>1</v>
      </c>
      <c r="P124" s="21" t="n">
        <f aca="false">IF(F124="쉼",0,IF(F124="",1,IFERROR(VALUE(LEFT(F124,1)),1)))</f>
        <v>1</v>
      </c>
      <c r="Q124" s="21" t="n">
        <f aca="false">IF(G124="쉼",0,IF(G124="",1,IFERROR(VALUE(LEFT(G124,1)),1)))</f>
        <v>1</v>
      </c>
    </row>
    <row r="125" customFormat="false" ht="15" hidden="false" customHeight="false" outlineLevel="0" collapsed="false">
      <c r="A125" s="22" t="n">
        <v>121</v>
      </c>
      <c r="B125" s="23"/>
      <c r="C125" s="23"/>
      <c r="D125" s="24"/>
      <c r="E125" s="24"/>
      <c r="F125" s="24"/>
      <c r="G125" s="24"/>
      <c r="H125" s="25" t="str">
        <f aca="false">IF(OR($B125="",$C125="",COUNTIF($D$4:$G$4,$B125)=0),"",IF($B125=H$4,$C125*정산!$C$4*(SUM($N125:$Q125)-N125),-$C125*정산!$C$4*N125))</f>
        <v/>
      </c>
      <c r="I125" s="25" t="str">
        <f aca="false">IF(OR($B125="",$C125="",COUNTIF($D$4:$G$4,$B125)=0),"",IF($B125=I$4,$C125*정산!$C$4*(SUM($N125:$Q125)-O125),-$C125*정산!$C$4*O125))</f>
        <v/>
      </c>
      <c r="J125" s="25" t="str">
        <f aca="false">IF(OR($B125="",$C125="",COUNTIF($D$4:$G$4,$B125)=0),"",IF($B125=J$4,$C125*정산!$C$4*(SUM($N125:$Q125)-P125),-$C125*정산!$C$4*P125))</f>
        <v/>
      </c>
      <c r="K125" s="25" t="str">
        <f aca="false">IF(OR($B125="",$C125="",COUNTIF($D$4:$G$4,$B125)=0),"",IF($B125=K$4,$C125*정산!$C$4*(SUM($N125:$Q125)-Q125),-$C125*정산!$C$4*Q125))</f>
        <v/>
      </c>
      <c r="L125" s="26" t="str">
        <f aca="false">IF(AND($B125="",$C125=""),"",IF($B125="","승자 선택!",IF($C125="","점수 입력!",IF(COUNTIF($D$4:$G$4,$B125)=0,"승자 이름?",IF(COUNTIF(D125:G125,"쉼")&lt;&gt;1,"쉼 1명 표시!",IF(INDEX(D125:G125,MATCH($B125,$D$4:$G$4,0))="쉼","승자가 쉼?","✓"))))))</f>
        <v/>
      </c>
      <c r="M125" s="27"/>
      <c r="N125" s="21" t="n">
        <f aca="false">IF(D125="쉼",0,IF(D125="",1,IFERROR(VALUE(LEFT(D125,1)),1)))</f>
        <v>1</v>
      </c>
      <c r="O125" s="21" t="n">
        <f aca="false">IF(E125="쉼",0,IF(E125="",1,IFERROR(VALUE(LEFT(E125,1)),1)))</f>
        <v>1</v>
      </c>
      <c r="P125" s="21" t="n">
        <f aca="false">IF(F125="쉼",0,IF(F125="",1,IFERROR(VALUE(LEFT(F125,1)),1)))</f>
        <v>1</v>
      </c>
      <c r="Q125" s="21" t="n">
        <f aca="false">IF(G125="쉼",0,IF(G125="",1,IFERROR(VALUE(LEFT(G125,1)),1)))</f>
        <v>1</v>
      </c>
    </row>
    <row r="126" customFormat="false" ht="15" hidden="false" customHeight="false" outlineLevel="0" collapsed="false">
      <c r="A126" s="22" t="n">
        <v>122</v>
      </c>
      <c r="B126" s="23"/>
      <c r="C126" s="23"/>
      <c r="D126" s="24"/>
      <c r="E126" s="24"/>
      <c r="F126" s="24"/>
      <c r="G126" s="24"/>
      <c r="H126" s="25" t="str">
        <f aca="false">IF(OR($B126="",$C126="",COUNTIF($D$4:$G$4,$B126)=0),"",IF($B126=H$4,$C126*정산!$C$4*(SUM($N126:$Q126)-N126),-$C126*정산!$C$4*N126))</f>
        <v/>
      </c>
      <c r="I126" s="25" t="str">
        <f aca="false">IF(OR($B126="",$C126="",COUNTIF($D$4:$G$4,$B126)=0),"",IF($B126=I$4,$C126*정산!$C$4*(SUM($N126:$Q126)-O126),-$C126*정산!$C$4*O126))</f>
        <v/>
      </c>
      <c r="J126" s="25" t="str">
        <f aca="false">IF(OR($B126="",$C126="",COUNTIF($D$4:$G$4,$B126)=0),"",IF($B126=J$4,$C126*정산!$C$4*(SUM($N126:$Q126)-P126),-$C126*정산!$C$4*P126))</f>
        <v/>
      </c>
      <c r="K126" s="25" t="str">
        <f aca="false">IF(OR($B126="",$C126="",COUNTIF($D$4:$G$4,$B126)=0),"",IF($B126=K$4,$C126*정산!$C$4*(SUM($N126:$Q126)-Q126),-$C126*정산!$C$4*Q126))</f>
        <v/>
      </c>
      <c r="L126" s="26" t="str">
        <f aca="false">IF(AND($B126="",$C126=""),"",IF($B126="","승자 선택!",IF($C126="","점수 입력!",IF(COUNTIF($D$4:$G$4,$B126)=0,"승자 이름?",IF(COUNTIF(D126:G126,"쉼")&lt;&gt;1,"쉼 1명 표시!",IF(INDEX(D126:G126,MATCH($B126,$D$4:$G$4,0))="쉼","승자가 쉼?","✓"))))))</f>
        <v/>
      </c>
      <c r="M126" s="27"/>
      <c r="N126" s="21" t="n">
        <f aca="false">IF(D126="쉼",0,IF(D126="",1,IFERROR(VALUE(LEFT(D126,1)),1)))</f>
        <v>1</v>
      </c>
      <c r="O126" s="21" t="n">
        <f aca="false">IF(E126="쉼",0,IF(E126="",1,IFERROR(VALUE(LEFT(E126,1)),1)))</f>
        <v>1</v>
      </c>
      <c r="P126" s="21" t="n">
        <f aca="false">IF(F126="쉼",0,IF(F126="",1,IFERROR(VALUE(LEFT(F126,1)),1)))</f>
        <v>1</v>
      </c>
      <c r="Q126" s="21" t="n">
        <f aca="false">IF(G126="쉼",0,IF(G126="",1,IFERROR(VALUE(LEFT(G126,1)),1)))</f>
        <v>1</v>
      </c>
    </row>
    <row r="127" customFormat="false" ht="15" hidden="false" customHeight="false" outlineLevel="0" collapsed="false">
      <c r="A127" s="22" t="n">
        <v>123</v>
      </c>
      <c r="B127" s="23"/>
      <c r="C127" s="23"/>
      <c r="D127" s="24"/>
      <c r="E127" s="24"/>
      <c r="F127" s="24"/>
      <c r="G127" s="24"/>
      <c r="H127" s="25" t="str">
        <f aca="false">IF(OR($B127="",$C127="",COUNTIF($D$4:$G$4,$B127)=0),"",IF($B127=H$4,$C127*정산!$C$4*(SUM($N127:$Q127)-N127),-$C127*정산!$C$4*N127))</f>
        <v/>
      </c>
      <c r="I127" s="25" t="str">
        <f aca="false">IF(OR($B127="",$C127="",COUNTIF($D$4:$G$4,$B127)=0),"",IF($B127=I$4,$C127*정산!$C$4*(SUM($N127:$Q127)-O127),-$C127*정산!$C$4*O127))</f>
        <v/>
      </c>
      <c r="J127" s="25" t="str">
        <f aca="false">IF(OR($B127="",$C127="",COUNTIF($D$4:$G$4,$B127)=0),"",IF($B127=J$4,$C127*정산!$C$4*(SUM($N127:$Q127)-P127),-$C127*정산!$C$4*P127))</f>
        <v/>
      </c>
      <c r="K127" s="25" t="str">
        <f aca="false">IF(OR($B127="",$C127="",COUNTIF($D$4:$G$4,$B127)=0),"",IF($B127=K$4,$C127*정산!$C$4*(SUM($N127:$Q127)-Q127),-$C127*정산!$C$4*Q127))</f>
        <v/>
      </c>
      <c r="L127" s="26" t="str">
        <f aca="false">IF(AND($B127="",$C127=""),"",IF($B127="","승자 선택!",IF($C127="","점수 입력!",IF(COUNTIF($D$4:$G$4,$B127)=0,"승자 이름?",IF(COUNTIF(D127:G127,"쉼")&lt;&gt;1,"쉼 1명 표시!",IF(INDEX(D127:G127,MATCH($B127,$D$4:$G$4,0))="쉼","승자가 쉼?","✓"))))))</f>
        <v/>
      </c>
      <c r="M127" s="27"/>
      <c r="N127" s="21" t="n">
        <f aca="false">IF(D127="쉼",0,IF(D127="",1,IFERROR(VALUE(LEFT(D127,1)),1)))</f>
        <v>1</v>
      </c>
      <c r="O127" s="21" t="n">
        <f aca="false">IF(E127="쉼",0,IF(E127="",1,IFERROR(VALUE(LEFT(E127,1)),1)))</f>
        <v>1</v>
      </c>
      <c r="P127" s="21" t="n">
        <f aca="false">IF(F127="쉼",0,IF(F127="",1,IFERROR(VALUE(LEFT(F127,1)),1)))</f>
        <v>1</v>
      </c>
      <c r="Q127" s="21" t="n">
        <f aca="false">IF(G127="쉼",0,IF(G127="",1,IFERROR(VALUE(LEFT(G127,1)),1)))</f>
        <v>1</v>
      </c>
    </row>
    <row r="128" customFormat="false" ht="15" hidden="false" customHeight="false" outlineLevel="0" collapsed="false">
      <c r="A128" s="22" t="n">
        <v>124</v>
      </c>
      <c r="B128" s="23"/>
      <c r="C128" s="23"/>
      <c r="D128" s="24"/>
      <c r="E128" s="24"/>
      <c r="F128" s="24"/>
      <c r="G128" s="24"/>
      <c r="H128" s="25" t="str">
        <f aca="false">IF(OR($B128="",$C128="",COUNTIF($D$4:$G$4,$B128)=0),"",IF($B128=H$4,$C128*정산!$C$4*(SUM($N128:$Q128)-N128),-$C128*정산!$C$4*N128))</f>
        <v/>
      </c>
      <c r="I128" s="25" t="str">
        <f aca="false">IF(OR($B128="",$C128="",COUNTIF($D$4:$G$4,$B128)=0),"",IF($B128=I$4,$C128*정산!$C$4*(SUM($N128:$Q128)-O128),-$C128*정산!$C$4*O128))</f>
        <v/>
      </c>
      <c r="J128" s="25" t="str">
        <f aca="false">IF(OR($B128="",$C128="",COUNTIF($D$4:$G$4,$B128)=0),"",IF($B128=J$4,$C128*정산!$C$4*(SUM($N128:$Q128)-P128),-$C128*정산!$C$4*P128))</f>
        <v/>
      </c>
      <c r="K128" s="25" t="str">
        <f aca="false">IF(OR($B128="",$C128="",COUNTIF($D$4:$G$4,$B128)=0),"",IF($B128=K$4,$C128*정산!$C$4*(SUM($N128:$Q128)-Q128),-$C128*정산!$C$4*Q128))</f>
        <v/>
      </c>
      <c r="L128" s="26" t="str">
        <f aca="false">IF(AND($B128="",$C128=""),"",IF($B128="","승자 선택!",IF($C128="","점수 입력!",IF(COUNTIF($D$4:$G$4,$B128)=0,"승자 이름?",IF(COUNTIF(D128:G128,"쉼")&lt;&gt;1,"쉼 1명 표시!",IF(INDEX(D128:G128,MATCH($B128,$D$4:$G$4,0))="쉼","승자가 쉼?","✓"))))))</f>
        <v/>
      </c>
      <c r="M128" s="27"/>
      <c r="N128" s="21" t="n">
        <f aca="false">IF(D128="쉼",0,IF(D128="",1,IFERROR(VALUE(LEFT(D128,1)),1)))</f>
        <v>1</v>
      </c>
      <c r="O128" s="21" t="n">
        <f aca="false">IF(E128="쉼",0,IF(E128="",1,IFERROR(VALUE(LEFT(E128,1)),1)))</f>
        <v>1</v>
      </c>
      <c r="P128" s="21" t="n">
        <f aca="false">IF(F128="쉼",0,IF(F128="",1,IFERROR(VALUE(LEFT(F128,1)),1)))</f>
        <v>1</v>
      </c>
      <c r="Q128" s="21" t="n">
        <f aca="false">IF(G128="쉼",0,IF(G128="",1,IFERROR(VALUE(LEFT(G128,1)),1)))</f>
        <v>1</v>
      </c>
    </row>
    <row r="129" customFormat="false" ht="15" hidden="false" customHeight="false" outlineLevel="0" collapsed="false">
      <c r="A129" s="22" t="n">
        <v>125</v>
      </c>
      <c r="B129" s="23"/>
      <c r="C129" s="23"/>
      <c r="D129" s="24"/>
      <c r="E129" s="24"/>
      <c r="F129" s="24"/>
      <c r="G129" s="24"/>
      <c r="H129" s="25" t="str">
        <f aca="false">IF(OR($B129="",$C129="",COUNTIF($D$4:$G$4,$B129)=0),"",IF($B129=H$4,$C129*정산!$C$4*(SUM($N129:$Q129)-N129),-$C129*정산!$C$4*N129))</f>
        <v/>
      </c>
      <c r="I129" s="25" t="str">
        <f aca="false">IF(OR($B129="",$C129="",COUNTIF($D$4:$G$4,$B129)=0),"",IF($B129=I$4,$C129*정산!$C$4*(SUM($N129:$Q129)-O129),-$C129*정산!$C$4*O129))</f>
        <v/>
      </c>
      <c r="J129" s="25" t="str">
        <f aca="false">IF(OR($B129="",$C129="",COUNTIF($D$4:$G$4,$B129)=0),"",IF($B129=J$4,$C129*정산!$C$4*(SUM($N129:$Q129)-P129),-$C129*정산!$C$4*P129))</f>
        <v/>
      </c>
      <c r="K129" s="25" t="str">
        <f aca="false">IF(OR($B129="",$C129="",COUNTIF($D$4:$G$4,$B129)=0),"",IF($B129=K$4,$C129*정산!$C$4*(SUM($N129:$Q129)-Q129),-$C129*정산!$C$4*Q129))</f>
        <v/>
      </c>
      <c r="L129" s="26" t="str">
        <f aca="false">IF(AND($B129="",$C129=""),"",IF($B129="","승자 선택!",IF($C129="","점수 입력!",IF(COUNTIF($D$4:$G$4,$B129)=0,"승자 이름?",IF(COUNTIF(D129:G129,"쉼")&lt;&gt;1,"쉼 1명 표시!",IF(INDEX(D129:G129,MATCH($B129,$D$4:$G$4,0))="쉼","승자가 쉼?","✓"))))))</f>
        <v/>
      </c>
      <c r="M129" s="27"/>
      <c r="N129" s="21" t="n">
        <f aca="false">IF(D129="쉼",0,IF(D129="",1,IFERROR(VALUE(LEFT(D129,1)),1)))</f>
        <v>1</v>
      </c>
      <c r="O129" s="21" t="n">
        <f aca="false">IF(E129="쉼",0,IF(E129="",1,IFERROR(VALUE(LEFT(E129,1)),1)))</f>
        <v>1</v>
      </c>
      <c r="P129" s="21" t="n">
        <f aca="false">IF(F129="쉼",0,IF(F129="",1,IFERROR(VALUE(LEFT(F129,1)),1)))</f>
        <v>1</v>
      </c>
      <c r="Q129" s="21" t="n">
        <f aca="false">IF(G129="쉼",0,IF(G129="",1,IFERROR(VALUE(LEFT(G129,1)),1)))</f>
        <v>1</v>
      </c>
    </row>
    <row r="130" customFormat="false" ht="15" hidden="false" customHeight="false" outlineLevel="0" collapsed="false">
      <c r="A130" s="22" t="n">
        <v>126</v>
      </c>
      <c r="B130" s="23"/>
      <c r="C130" s="23"/>
      <c r="D130" s="24"/>
      <c r="E130" s="24"/>
      <c r="F130" s="24"/>
      <c r="G130" s="24"/>
      <c r="H130" s="25" t="str">
        <f aca="false">IF(OR($B130="",$C130="",COUNTIF($D$4:$G$4,$B130)=0),"",IF($B130=H$4,$C130*정산!$C$4*(SUM($N130:$Q130)-N130),-$C130*정산!$C$4*N130))</f>
        <v/>
      </c>
      <c r="I130" s="25" t="str">
        <f aca="false">IF(OR($B130="",$C130="",COUNTIF($D$4:$G$4,$B130)=0),"",IF($B130=I$4,$C130*정산!$C$4*(SUM($N130:$Q130)-O130),-$C130*정산!$C$4*O130))</f>
        <v/>
      </c>
      <c r="J130" s="25" t="str">
        <f aca="false">IF(OR($B130="",$C130="",COUNTIF($D$4:$G$4,$B130)=0),"",IF($B130=J$4,$C130*정산!$C$4*(SUM($N130:$Q130)-P130),-$C130*정산!$C$4*P130))</f>
        <v/>
      </c>
      <c r="K130" s="25" t="str">
        <f aca="false">IF(OR($B130="",$C130="",COUNTIF($D$4:$G$4,$B130)=0),"",IF($B130=K$4,$C130*정산!$C$4*(SUM($N130:$Q130)-Q130),-$C130*정산!$C$4*Q130))</f>
        <v/>
      </c>
      <c r="L130" s="26" t="str">
        <f aca="false">IF(AND($B130="",$C130=""),"",IF($B130="","승자 선택!",IF($C130="","점수 입력!",IF(COUNTIF($D$4:$G$4,$B130)=0,"승자 이름?",IF(COUNTIF(D130:G130,"쉼")&lt;&gt;1,"쉼 1명 표시!",IF(INDEX(D130:G130,MATCH($B130,$D$4:$G$4,0))="쉼","승자가 쉼?","✓"))))))</f>
        <v/>
      </c>
      <c r="M130" s="27"/>
      <c r="N130" s="21" t="n">
        <f aca="false">IF(D130="쉼",0,IF(D130="",1,IFERROR(VALUE(LEFT(D130,1)),1)))</f>
        <v>1</v>
      </c>
      <c r="O130" s="21" t="n">
        <f aca="false">IF(E130="쉼",0,IF(E130="",1,IFERROR(VALUE(LEFT(E130,1)),1)))</f>
        <v>1</v>
      </c>
      <c r="P130" s="21" t="n">
        <f aca="false">IF(F130="쉼",0,IF(F130="",1,IFERROR(VALUE(LEFT(F130,1)),1)))</f>
        <v>1</v>
      </c>
      <c r="Q130" s="21" t="n">
        <f aca="false">IF(G130="쉼",0,IF(G130="",1,IFERROR(VALUE(LEFT(G130,1)),1)))</f>
        <v>1</v>
      </c>
    </row>
    <row r="131" customFormat="false" ht="15" hidden="false" customHeight="false" outlineLevel="0" collapsed="false">
      <c r="A131" s="22" t="n">
        <v>127</v>
      </c>
      <c r="B131" s="23"/>
      <c r="C131" s="23"/>
      <c r="D131" s="24"/>
      <c r="E131" s="24"/>
      <c r="F131" s="24"/>
      <c r="G131" s="24"/>
      <c r="H131" s="25" t="str">
        <f aca="false">IF(OR($B131="",$C131="",COUNTIF($D$4:$G$4,$B131)=0),"",IF($B131=H$4,$C131*정산!$C$4*(SUM($N131:$Q131)-N131),-$C131*정산!$C$4*N131))</f>
        <v/>
      </c>
      <c r="I131" s="25" t="str">
        <f aca="false">IF(OR($B131="",$C131="",COUNTIF($D$4:$G$4,$B131)=0),"",IF($B131=I$4,$C131*정산!$C$4*(SUM($N131:$Q131)-O131),-$C131*정산!$C$4*O131))</f>
        <v/>
      </c>
      <c r="J131" s="25" t="str">
        <f aca="false">IF(OR($B131="",$C131="",COUNTIF($D$4:$G$4,$B131)=0),"",IF($B131=J$4,$C131*정산!$C$4*(SUM($N131:$Q131)-P131),-$C131*정산!$C$4*P131))</f>
        <v/>
      </c>
      <c r="K131" s="25" t="str">
        <f aca="false">IF(OR($B131="",$C131="",COUNTIF($D$4:$G$4,$B131)=0),"",IF($B131=K$4,$C131*정산!$C$4*(SUM($N131:$Q131)-Q131),-$C131*정산!$C$4*Q131))</f>
        <v/>
      </c>
      <c r="L131" s="26" t="str">
        <f aca="false">IF(AND($B131="",$C131=""),"",IF($B131="","승자 선택!",IF($C131="","점수 입력!",IF(COUNTIF($D$4:$G$4,$B131)=0,"승자 이름?",IF(COUNTIF(D131:G131,"쉼")&lt;&gt;1,"쉼 1명 표시!",IF(INDEX(D131:G131,MATCH($B131,$D$4:$G$4,0))="쉼","승자가 쉼?","✓"))))))</f>
        <v/>
      </c>
      <c r="M131" s="27"/>
      <c r="N131" s="21" t="n">
        <f aca="false">IF(D131="쉼",0,IF(D131="",1,IFERROR(VALUE(LEFT(D131,1)),1)))</f>
        <v>1</v>
      </c>
      <c r="O131" s="21" t="n">
        <f aca="false">IF(E131="쉼",0,IF(E131="",1,IFERROR(VALUE(LEFT(E131,1)),1)))</f>
        <v>1</v>
      </c>
      <c r="P131" s="21" t="n">
        <f aca="false">IF(F131="쉼",0,IF(F131="",1,IFERROR(VALUE(LEFT(F131,1)),1)))</f>
        <v>1</v>
      </c>
      <c r="Q131" s="21" t="n">
        <f aca="false">IF(G131="쉼",0,IF(G131="",1,IFERROR(VALUE(LEFT(G131,1)),1)))</f>
        <v>1</v>
      </c>
    </row>
    <row r="132" customFormat="false" ht="15" hidden="false" customHeight="false" outlineLevel="0" collapsed="false">
      <c r="A132" s="22" t="n">
        <v>128</v>
      </c>
      <c r="B132" s="23"/>
      <c r="C132" s="23"/>
      <c r="D132" s="24"/>
      <c r="E132" s="24"/>
      <c r="F132" s="24"/>
      <c r="G132" s="24"/>
      <c r="H132" s="25" t="str">
        <f aca="false">IF(OR($B132="",$C132="",COUNTIF($D$4:$G$4,$B132)=0),"",IF($B132=H$4,$C132*정산!$C$4*(SUM($N132:$Q132)-N132),-$C132*정산!$C$4*N132))</f>
        <v/>
      </c>
      <c r="I132" s="25" t="str">
        <f aca="false">IF(OR($B132="",$C132="",COUNTIF($D$4:$G$4,$B132)=0),"",IF($B132=I$4,$C132*정산!$C$4*(SUM($N132:$Q132)-O132),-$C132*정산!$C$4*O132))</f>
        <v/>
      </c>
      <c r="J132" s="25" t="str">
        <f aca="false">IF(OR($B132="",$C132="",COUNTIF($D$4:$G$4,$B132)=0),"",IF($B132=J$4,$C132*정산!$C$4*(SUM($N132:$Q132)-P132),-$C132*정산!$C$4*P132))</f>
        <v/>
      </c>
      <c r="K132" s="25" t="str">
        <f aca="false">IF(OR($B132="",$C132="",COUNTIF($D$4:$G$4,$B132)=0),"",IF($B132=K$4,$C132*정산!$C$4*(SUM($N132:$Q132)-Q132),-$C132*정산!$C$4*Q132))</f>
        <v/>
      </c>
      <c r="L132" s="26" t="str">
        <f aca="false">IF(AND($B132="",$C132=""),"",IF($B132="","승자 선택!",IF($C132="","점수 입력!",IF(COUNTIF($D$4:$G$4,$B132)=0,"승자 이름?",IF(COUNTIF(D132:G132,"쉼")&lt;&gt;1,"쉼 1명 표시!",IF(INDEX(D132:G132,MATCH($B132,$D$4:$G$4,0))="쉼","승자가 쉼?","✓"))))))</f>
        <v/>
      </c>
      <c r="M132" s="27"/>
      <c r="N132" s="21" t="n">
        <f aca="false">IF(D132="쉼",0,IF(D132="",1,IFERROR(VALUE(LEFT(D132,1)),1)))</f>
        <v>1</v>
      </c>
      <c r="O132" s="21" t="n">
        <f aca="false">IF(E132="쉼",0,IF(E132="",1,IFERROR(VALUE(LEFT(E132,1)),1)))</f>
        <v>1</v>
      </c>
      <c r="P132" s="21" t="n">
        <f aca="false">IF(F132="쉼",0,IF(F132="",1,IFERROR(VALUE(LEFT(F132,1)),1)))</f>
        <v>1</v>
      </c>
      <c r="Q132" s="21" t="n">
        <f aca="false">IF(G132="쉼",0,IF(G132="",1,IFERROR(VALUE(LEFT(G132,1)),1)))</f>
        <v>1</v>
      </c>
    </row>
    <row r="133" customFormat="false" ht="15" hidden="false" customHeight="false" outlineLevel="0" collapsed="false">
      <c r="A133" s="22" t="n">
        <v>129</v>
      </c>
      <c r="B133" s="23"/>
      <c r="C133" s="23"/>
      <c r="D133" s="24"/>
      <c r="E133" s="24"/>
      <c r="F133" s="24"/>
      <c r="G133" s="24"/>
      <c r="H133" s="25" t="str">
        <f aca="false">IF(OR($B133="",$C133="",COUNTIF($D$4:$G$4,$B133)=0),"",IF($B133=H$4,$C133*정산!$C$4*(SUM($N133:$Q133)-N133),-$C133*정산!$C$4*N133))</f>
        <v/>
      </c>
      <c r="I133" s="25" t="str">
        <f aca="false">IF(OR($B133="",$C133="",COUNTIF($D$4:$G$4,$B133)=0),"",IF($B133=I$4,$C133*정산!$C$4*(SUM($N133:$Q133)-O133),-$C133*정산!$C$4*O133))</f>
        <v/>
      </c>
      <c r="J133" s="25" t="str">
        <f aca="false">IF(OR($B133="",$C133="",COUNTIF($D$4:$G$4,$B133)=0),"",IF($B133=J$4,$C133*정산!$C$4*(SUM($N133:$Q133)-P133),-$C133*정산!$C$4*P133))</f>
        <v/>
      </c>
      <c r="K133" s="25" t="str">
        <f aca="false">IF(OR($B133="",$C133="",COUNTIF($D$4:$G$4,$B133)=0),"",IF($B133=K$4,$C133*정산!$C$4*(SUM($N133:$Q133)-Q133),-$C133*정산!$C$4*Q133))</f>
        <v/>
      </c>
      <c r="L133" s="26" t="str">
        <f aca="false">IF(AND($B133="",$C133=""),"",IF($B133="","승자 선택!",IF($C133="","점수 입력!",IF(COUNTIF($D$4:$G$4,$B133)=0,"승자 이름?",IF(COUNTIF(D133:G133,"쉼")&lt;&gt;1,"쉼 1명 표시!",IF(INDEX(D133:G133,MATCH($B133,$D$4:$G$4,0))="쉼","승자가 쉼?","✓"))))))</f>
        <v/>
      </c>
      <c r="M133" s="27"/>
      <c r="N133" s="21" t="n">
        <f aca="false">IF(D133="쉼",0,IF(D133="",1,IFERROR(VALUE(LEFT(D133,1)),1)))</f>
        <v>1</v>
      </c>
      <c r="O133" s="21" t="n">
        <f aca="false">IF(E133="쉼",0,IF(E133="",1,IFERROR(VALUE(LEFT(E133,1)),1)))</f>
        <v>1</v>
      </c>
      <c r="P133" s="21" t="n">
        <f aca="false">IF(F133="쉼",0,IF(F133="",1,IFERROR(VALUE(LEFT(F133,1)),1)))</f>
        <v>1</v>
      </c>
      <c r="Q133" s="21" t="n">
        <f aca="false">IF(G133="쉼",0,IF(G133="",1,IFERROR(VALUE(LEFT(G133,1)),1)))</f>
        <v>1</v>
      </c>
    </row>
    <row r="134" customFormat="false" ht="15" hidden="false" customHeight="false" outlineLevel="0" collapsed="false">
      <c r="A134" s="22" t="n">
        <v>130</v>
      </c>
      <c r="B134" s="23"/>
      <c r="C134" s="23"/>
      <c r="D134" s="24"/>
      <c r="E134" s="24"/>
      <c r="F134" s="24"/>
      <c r="G134" s="24"/>
      <c r="H134" s="25" t="str">
        <f aca="false">IF(OR($B134="",$C134="",COUNTIF($D$4:$G$4,$B134)=0),"",IF($B134=H$4,$C134*정산!$C$4*(SUM($N134:$Q134)-N134),-$C134*정산!$C$4*N134))</f>
        <v/>
      </c>
      <c r="I134" s="25" t="str">
        <f aca="false">IF(OR($B134="",$C134="",COUNTIF($D$4:$G$4,$B134)=0),"",IF($B134=I$4,$C134*정산!$C$4*(SUM($N134:$Q134)-O134),-$C134*정산!$C$4*O134))</f>
        <v/>
      </c>
      <c r="J134" s="25" t="str">
        <f aca="false">IF(OR($B134="",$C134="",COUNTIF($D$4:$G$4,$B134)=0),"",IF($B134=J$4,$C134*정산!$C$4*(SUM($N134:$Q134)-P134),-$C134*정산!$C$4*P134))</f>
        <v/>
      </c>
      <c r="K134" s="25" t="str">
        <f aca="false">IF(OR($B134="",$C134="",COUNTIF($D$4:$G$4,$B134)=0),"",IF($B134=K$4,$C134*정산!$C$4*(SUM($N134:$Q134)-Q134),-$C134*정산!$C$4*Q134))</f>
        <v/>
      </c>
      <c r="L134" s="26" t="str">
        <f aca="false">IF(AND($B134="",$C134=""),"",IF($B134="","승자 선택!",IF($C134="","점수 입력!",IF(COUNTIF($D$4:$G$4,$B134)=0,"승자 이름?",IF(COUNTIF(D134:G134,"쉼")&lt;&gt;1,"쉼 1명 표시!",IF(INDEX(D134:G134,MATCH($B134,$D$4:$G$4,0))="쉼","승자가 쉼?","✓"))))))</f>
        <v/>
      </c>
      <c r="M134" s="27"/>
      <c r="N134" s="21" t="n">
        <f aca="false">IF(D134="쉼",0,IF(D134="",1,IFERROR(VALUE(LEFT(D134,1)),1)))</f>
        <v>1</v>
      </c>
      <c r="O134" s="21" t="n">
        <f aca="false">IF(E134="쉼",0,IF(E134="",1,IFERROR(VALUE(LEFT(E134,1)),1)))</f>
        <v>1</v>
      </c>
      <c r="P134" s="21" t="n">
        <f aca="false">IF(F134="쉼",0,IF(F134="",1,IFERROR(VALUE(LEFT(F134,1)),1)))</f>
        <v>1</v>
      </c>
      <c r="Q134" s="21" t="n">
        <f aca="false">IF(G134="쉼",0,IF(G134="",1,IFERROR(VALUE(LEFT(G134,1)),1)))</f>
        <v>1</v>
      </c>
    </row>
    <row r="135" customFormat="false" ht="15" hidden="false" customHeight="false" outlineLevel="0" collapsed="false">
      <c r="A135" s="22" t="n">
        <v>131</v>
      </c>
      <c r="B135" s="23"/>
      <c r="C135" s="23"/>
      <c r="D135" s="24"/>
      <c r="E135" s="24"/>
      <c r="F135" s="24"/>
      <c r="G135" s="24"/>
      <c r="H135" s="25" t="str">
        <f aca="false">IF(OR($B135="",$C135="",COUNTIF($D$4:$G$4,$B135)=0),"",IF($B135=H$4,$C135*정산!$C$4*(SUM($N135:$Q135)-N135),-$C135*정산!$C$4*N135))</f>
        <v/>
      </c>
      <c r="I135" s="25" t="str">
        <f aca="false">IF(OR($B135="",$C135="",COUNTIF($D$4:$G$4,$B135)=0),"",IF($B135=I$4,$C135*정산!$C$4*(SUM($N135:$Q135)-O135),-$C135*정산!$C$4*O135))</f>
        <v/>
      </c>
      <c r="J135" s="25" t="str">
        <f aca="false">IF(OR($B135="",$C135="",COUNTIF($D$4:$G$4,$B135)=0),"",IF($B135=J$4,$C135*정산!$C$4*(SUM($N135:$Q135)-P135),-$C135*정산!$C$4*P135))</f>
        <v/>
      </c>
      <c r="K135" s="25" t="str">
        <f aca="false">IF(OR($B135="",$C135="",COUNTIF($D$4:$G$4,$B135)=0),"",IF($B135=K$4,$C135*정산!$C$4*(SUM($N135:$Q135)-Q135),-$C135*정산!$C$4*Q135))</f>
        <v/>
      </c>
      <c r="L135" s="26" t="str">
        <f aca="false">IF(AND($B135="",$C135=""),"",IF($B135="","승자 선택!",IF($C135="","점수 입력!",IF(COUNTIF($D$4:$G$4,$B135)=0,"승자 이름?",IF(COUNTIF(D135:G135,"쉼")&lt;&gt;1,"쉼 1명 표시!",IF(INDEX(D135:G135,MATCH($B135,$D$4:$G$4,0))="쉼","승자가 쉼?","✓"))))))</f>
        <v/>
      </c>
      <c r="M135" s="27"/>
      <c r="N135" s="21" t="n">
        <f aca="false">IF(D135="쉼",0,IF(D135="",1,IFERROR(VALUE(LEFT(D135,1)),1)))</f>
        <v>1</v>
      </c>
      <c r="O135" s="21" t="n">
        <f aca="false">IF(E135="쉼",0,IF(E135="",1,IFERROR(VALUE(LEFT(E135,1)),1)))</f>
        <v>1</v>
      </c>
      <c r="P135" s="21" t="n">
        <f aca="false">IF(F135="쉼",0,IF(F135="",1,IFERROR(VALUE(LEFT(F135,1)),1)))</f>
        <v>1</v>
      </c>
      <c r="Q135" s="21" t="n">
        <f aca="false">IF(G135="쉼",0,IF(G135="",1,IFERROR(VALUE(LEFT(G135,1)),1)))</f>
        <v>1</v>
      </c>
    </row>
    <row r="136" customFormat="false" ht="15" hidden="false" customHeight="false" outlineLevel="0" collapsed="false">
      <c r="A136" s="22" t="n">
        <v>132</v>
      </c>
      <c r="B136" s="23"/>
      <c r="C136" s="23"/>
      <c r="D136" s="24"/>
      <c r="E136" s="24"/>
      <c r="F136" s="24"/>
      <c r="G136" s="24"/>
      <c r="H136" s="25" t="str">
        <f aca="false">IF(OR($B136="",$C136="",COUNTIF($D$4:$G$4,$B136)=0),"",IF($B136=H$4,$C136*정산!$C$4*(SUM($N136:$Q136)-N136),-$C136*정산!$C$4*N136))</f>
        <v/>
      </c>
      <c r="I136" s="25" t="str">
        <f aca="false">IF(OR($B136="",$C136="",COUNTIF($D$4:$G$4,$B136)=0),"",IF($B136=I$4,$C136*정산!$C$4*(SUM($N136:$Q136)-O136),-$C136*정산!$C$4*O136))</f>
        <v/>
      </c>
      <c r="J136" s="25" t="str">
        <f aca="false">IF(OR($B136="",$C136="",COUNTIF($D$4:$G$4,$B136)=0),"",IF($B136=J$4,$C136*정산!$C$4*(SUM($N136:$Q136)-P136),-$C136*정산!$C$4*P136))</f>
        <v/>
      </c>
      <c r="K136" s="25" t="str">
        <f aca="false">IF(OR($B136="",$C136="",COUNTIF($D$4:$G$4,$B136)=0),"",IF($B136=K$4,$C136*정산!$C$4*(SUM($N136:$Q136)-Q136),-$C136*정산!$C$4*Q136))</f>
        <v/>
      </c>
      <c r="L136" s="26" t="str">
        <f aca="false">IF(AND($B136="",$C136=""),"",IF($B136="","승자 선택!",IF($C136="","점수 입력!",IF(COUNTIF($D$4:$G$4,$B136)=0,"승자 이름?",IF(COUNTIF(D136:G136,"쉼")&lt;&gt;1,"쉼 1명 표시!",IF(INDEX(D136:G136,MATCH($B136,$D$4:$G$4,0))="쉼","승자가 쉼?","✓"))))))</f>
        <v/>
      </c>
      <c r="M136" s="27"/>
      <c r="N136" s="21" t="n">
        <f aca="false">IF(D136="쉼",0,IF(D136="",1,IFERROR(VALUE(LEFT(D136,1)),1)))</f>
        <v>1</v>
      </c>
      <c r="O136" s="21" t="n">
        <f aca="false">IF(E136="쉼",0,IF(E136="",1,IFERROR(VALUE(LEFT(E136,1)),1)))</f>
        <v>1</v>
      </c>
      <c r="P136" s="21" t="n">
        <f aca="false">IF(F136="쉼",0,IF(F136="",1,IFERROR(VALUE(LEFT(F136,1)),1)))</f>
        <v>1</v>
      </c>
      <c r="Q136" s="21" t="n">
        <f aca="false">IF(G136="쉼",0,IF(G136="",1,IFERROR(VALUE(LEFT(G136,1)),1)))</f>
        <v>1</v>
      </c>
    </row>
    <row r="137" customFormat="false" ht="15" hidden="false" customHeight="false" outlineLevel="0" collapsed="false">
      <c r="A137" s="22" t="n">
        <v>133</v>
      </c>
      <c r="B137" s="23"/>
      <c r="C137" s="23"/>
      <c r="D137" s="24"/>
      <c r="E137" s="24"/>
      <c r="F137" s="24"/>
      <c r="G137" s="24"/>
      <c r="H137" s="25" t="str">
        <f aca="false">IF(OR($B137="",$C137="",COUNTIF($D$4:$G$4,$B137)=0),"",IF($B137=H$4,$C137*정산!$C$4*(SUM($N137:$Q137)-N137),-$C137*정산!$C$4*N137))</f>
        <v/>
      </c>
      <c r="I137" s="25" t="str">
        <f aca="false">IF(OR($B137="",$C137="",COUNTIF($D$4:$G$4,$B137)=0),"",IF($B137=I$4,$C137*정산!$C$4*(SUM($N137:$Q137)-O137),-$C137*정산!$C$4*O137))</f>
        <v/>
      </c>
      <c r="J137" s="25" t="str">
        <f aca="false">IF(OR($B137="",$C137="",COUNTIF($D$4:$G$4,$B137)=0),"",IF($B137=J$4,$C137*정산!$C$4*(SUM($N137:$Q137)-P137),-$C137*정산!$C$4*P137))</f>
        <v/>
      </c>
      <c r="K137" s="25" t="str">
        <f aca="false">IF(OR($B137="",$C137="",COUNTIF($D$4:$G$4,$B137)=0),"",IF($B137=K$4,$C137*정산!$C$4*(SUM($N137:$Q137)-Q137),-$C137*정산!$C$4*Q137))</f>
        <v/>
      </c>
      <c r="L137" s="26" t="str">
        <f aca="false">IF(AND($B137="",$C137=""),"",IF($B137="","승자 선택!",IF($C137="","점수 입력!",IF(COUNTIF($D$4:$G$4,$B137)=0,"승자 이름?",IF(COUNTIF(D137:G137,"쉼")&lt;&gt;1,"쉼 1명 표시!",IF(INDEX(D137:G137,MATCH($B137,$D$4:$G$4,0))="쉼","승자가 쉼?","✓"))))))</f>
        <v/>
      </c>
      <c r="M137" s="27"/>
      <c r="N137" s="21" t="n">
        <f aca="false">IF(D137="쉼",0,IF(D137="",1,IFERROR(VALUE(LEFT(D137,1)),1)))</f>
        <v>1</v>
      </c>
      <c r="O137" s="21" t="n">
        <f aca="false">IF(E137="쉼",0,IF(E137="",1,IFERROR(VALUE(LEFT(E137,1)),1)))</f>
        <v>1</v>
      </c>
      <c r="P137" s="21" t="n">
        <f aca="false">IF(F137="쉼",0,IF(F137="",1,IFERROR(VALUE(LEFT(F137,1)),1)))</f>
        <v>1</v>
      </c>
      <c r="Q137" s="21" t="n">
        <f aca="false">IF(G137="쉼",0,IF(G137="",1,IFERROR(VALUE(LEFT(G137,1)),1)))</f>
        <v>1</v>
      </c>
    </row>
    <row r="138" customFormat="false" ht="15" hidden="false" customHeight="false" outlineLevel="0" collapsed="false">
      <c r="A138" s="22" t="n">
        <v>134</v>
      </c>
      <c r="B138" s="23"/>
      <c r="C138" s="23"/>
      <c r="D138" s="24"/>
      <c r="E138" s="24"/>
      <c r="F138" s="24"/>
      <c r="G138" s="24"/>
      <c r="H138" s="25" t="str">
        <f aca="false">IF(OR($B138="",$C138="",COUNTIF($D$4:$G$4,$B138)=0),"",IF($B138=H$4,$C138*정산!$C$4*(SUM($N138:$Q138)-N138),-$C138*정산!$C$4*N138))</f>
        <v/>
      </c>
      <c r="I138" s="25" t="str">
        <f aca="false">IF(OR($B138="",$C138="",COUNTIF($D$4:$G$4,$B138)=0),"",IF($B138=I$4,$C138*정산!$C$4*(SUM($N138:$Q138)-O138),-$C138*정산!$C$4*O138))</f>
        <v/>
      </c>
      <c r="J138" s="25" t="str">
        <f aca="false">IF(OR($B138="",$C138="",COUNTIF($D$4:$G$4,$B138)=0),"",IF($B138=J$4,$C138*정산!$C$4*(SUM($N138:$Q138)-P138),-$C138*정산!$C$4*P138))</f>
        <v/>
      </c>
      <c r="K138" s="25" t="str">
        <f aca="false">IF(OR($B138="",$C138="",COUNTIF($D$4:$G$4,$B138)=0),"",IF($B138=K$4,$C138*정산!$C$4*(SUM($N138:$Q138)-Q138),-$C138*정산!$C$4*Q138))</f>
        <v/>
      </c>
      <c r="L138" s="26" t="str">
        <f aca="false">IF(AND($B138="",$C138=""),"",IF($B138="","승자 선택!",IF($C138="","점수 입력!",IF(COUNTIF($D$4:$G$4,$B138)=0,"승자 이름?",IF(COUNTIF(D138:G138,"쉼")&lt;&gt;1,"쉼 1명 표시!",IF(INDEX(D138:G138,MATCH($B138,$D$4:$G$4,0))="쉼","승자가 쉼?","✓"))))))</f>
        <v/>
      </c>
      <c r="M138" s="27"/>
      <c r="N138" s="21" t="n">
        <f aca="false">IF(D138="쉼",0,IF(D138="",1,IFERROR(VALUE(LEFT(D138,1)),1)))</f>
        <v>1</v>
      </c>
      <c r="O138" s="21" t="n">
        <f aca="false">IF(E138="쉼",0,IF(E138="",1,IFERROR(VALUE(LEFT(E138,1)),1)))</f>
        <v>1</v>
      </c>
      <c r="P138" s="21" t="n">
        <f aca="false">IF(F138="쉼",0,IF(F138="",1,IFERROR(VALUE(LEFT(F138,1)),1)))</f>
        <v>1</v>
      </c>
      <c r="Q138" s="21" t="n">
        <f aca="false">IF(G138="쉼",0,IF(G138="",1,IFERROR(VALUE(LEFT(G138,1)),1)))</f>
        <v>1</v>
      </c>
    </row>
    <row r="139" customFormat="false" ht="15" hidden="false" customHeight="false" outlineLevel="0" collapsed="false">
      <c r="A139" s="22" t="n">
        <v>135</v>
      </c>
      <c r="B139" s="23"/>
      <c r="C139" s="23"/>
      <c r="D139" s="24"/>
      <c r="E139" s="24"/>
      <c r="F139" s="24"/>
      <c r="G139" s="24"/>
      <c r="H139" s="25" t="str">
        <f aca="false">IF(OR($B139="",$C139="",COUNTIF($D$4:$G$4,$B139)=0),"",IF($B139=H$4,$C139*정산!$C$4*(SUM($N139:$Q139)-N139),-$C139*정산!$C$4*N139))</f>
        <v/>
      </c>
      <c r="I139" s="25" t="str">
        <f aca="false">IF(OR($B139="",$C139="",COUNTIF($D$4:$G$4,$B139)=0),"",IF($B139=I$4,$C139*정산!$C$4*(SUM($N139:$Q139)-O139),-$C139*정산!$C$4*O139))</f>
        <v/>
      </c>
      <c r="J139" s="25" t="str">
        <f aca="false">IF(OR($B139="",$C139="",COUNTIF($D$4:$G$4,$B139)=0),"",IF($B139=J$4,$C139*정산!$C$4*(SUM($N139:$Q139)-P139),-$C139*정산!$C$4*P139))</f>
        <v/>
      </c>
      <c r="K139" s="25" t="str">
        <f aca="false">IF(OR($B139="",$C139="",COUNTIF($D$4:$G$4,$B139)=0),"",IF($B139=K$4,$C139*정산!$C$4*(SUM($N139:$Q139)-Q139),-$C139*정산!$C$4*Q139))</f>
        <v/>
      </c>
      <c r="L139" s="26" t="str">
        <f aca="false">IF(AND($B139="",$C139=""),"",IF($B139="","승자 선택!",IF($C139="","점수 입력!",IF(COUNTIF($D$4:$G$4,$B139)=0,"승자 이름?",IF(COUNTIF(D139:G139,"쉼")&lt;&gt;1,"쉼 1명 표시!",IF(INDEX(D139:G139,MATCH($B139,$D$4:$G$4,0))="쉼","승자가 쉼?","✓"))))))</f>
        <v/>
      </c>
      <c r="M139" s="27"/>
      <c r="N139" s="21" t="n">
        <f aca="false">IF(D139="쉼",0,IF(D139="",1,IFERROR(VALUE(LEFT(D139,1)),1)))</f>
        <v>1</v>
      </c>
      <c r="O139" s="21" t="n">
        <f aca="false">IF(E139="쉼",0,IF(E139="",1,IFERROR(VALUE(LEFT(E139,1)),1)))</f>
        <v>1</v>
      </c>
      <c r="P139" s="21" t="n">
        <f aca="false">IF(F139="쉼",0,IF(F139="",1,IFERROR(VALUE(LEFT(F139,1)),1)))</f>
        <v>1</v>
      </c>
      <c r="Q139" s="21" t="n">
        <f aca="false">IF(G139="쉼",0,IF(G139="",1,IFERROR(VALUE(LEFT(G139,1)),1)))</f>
        <v>1</v>
      </c>
    </row>
    <row r="140" customFormat="false" ht="15" hidden="false" customHeight="false" outlineLevel="0" collapsed="false">
      <c r="A140" s="22" t="n">
        <v>136</v>
      </c>
      <c r="B140" s="23"/>
      <c r="C140" s="23"/>
      <c r="D140" s="24"/>
      <c r="E140" s="24"/>
      <c r="F140" s="24"/>
      <c r="G140" s="24"/>
      <c r="H140" s="25" t="str">
        <f aca="false">IF(OR($B140="",$C140="",COUNTIF($D$4:$G$4,$B140)=0),"",IF($B140=H$4,$C140*정산!$C$4*(SUM($N140:$Q140)-N140),-$C140*정산!$C$4*N140))</f>
        <v/>
      </c>
      <c r="I140" s="25" t="str">
        <f aca="false">IF(OR($B140="",$C140="",COUNTIF($D$4:$G$4,$B140)=0),"",IF($B140=I$4,$C140*정산!$C$4*(SUM($N140:$Q140)-O140),-$C140*정산!$C$4*O140))</f>
        <v/>
      </c>
      <c r="J140" s="25" t="str">
        <f aca="false">IF(OR($B140="",$C140="",COUNTIF($D$4:$G$4,$B140)=0),"",IF($B140=J$4,$C140*정산!$C$4*(SUM($N140:$Q140)-P140),-$C140*정산!$C$4*P140))</f>
        <v/>
      </c>
      <c r="K140" s="25" t="str">
        <f aca="false">IF(OR($B140="",$C140="",COUNTIF($D$4:$G$4,$B140)=0),"",IF($B140=K$4,$C140*정산!$C$4*(SUM($N140:$Q140)-Q140),-$C140*정산!$C$4*Q140))</f>
        <v/>
      </c>
      <c r="L140" s="26" t="str">
        <f aca="false">IF(AND($B140="",$C140=""),"",IF($B140="","승자 선택!",IF($C140="","점수 입력!",IF(COUNTIF($D$4:$G$4,$B140)=0,"승자 이름?",IF(COUNTIF(D140:G140,"쉼")&lt;&gt;1,"쉼 1명 표시!",IF(INDEX(D140:G140,MATCH($B140,$D$4:$G$4,0))="쉼","승자가 쉼?","✓"))))))</f>
        <v/>
      </c>
      <c r="M140" s="27"/>
      <c r="N140" s="21" t="n">
        <f aca="false">IF(D140="쉼",0,IF(D140="",1,IFERROR(VALUE(LEFT(D140,1)),1)))</f>
        <v>1</v>
      </c>
      <c r="O140" s="21" t="n">
        <f aca="false">IF(E140="쉼",0,IF(E140="",1,IFERROR(VALUE(LEFT(E140,1)),1)))</f>
        <v>1</v>
      </c>
      <c r="P140" s="21" t="n">
        <f aca="false">IF(F140="쉼",0,IF(F140="",1,IFERROR(VALUE(LEFT(F140,1)),1)))</f>
        <v>1</v>
      </c>
      <c r="Q140" s="21" t="n">
        <f aca="false">IF(G140="쉼",0,IF(G140="",1,IFERROR(VALUE(LEFT(G140,1)),1)))</f>
        <v>1</v>
      </c>
    </row>
    <row r="141" customFormat="false" ht="15" hidden="false" customHeight="false" outlineLevel="0" collapsed="false">
      <c r="A141" s="22" t="n">
        <v>137</v>
      </c>
      <c r="B141" s="23"/>
      <c r="C141" s="23"/>
      <c r="D141" s="24"/>
      <c r="E141" s="24"/>
      <c r="F141" s="24"/>
      <c r="G141" s="24"/>
      <c r="H141" s="25" t="str">
        <f aca="false">IF(OR($B141="",$C141="",COUNTIF($D$4:$G$4,$B141)=0),"",IF($B141=H$4,$C141*정산!$C$4*(SUM($N141:$Q141)-N141),-$C141*정산!$C$4*N141))</f>
        <v/>
      </c>
      <c r="I141" s="25" t="str">
        <f aca="false">IF(OR($B141="",$C141="",COUNTIF($D$4:$G$4,$B141)=0),"",IF($B141=I$4,$C141*정산!$C$4*(SUM($N141:$Q141)-O141),-$C141*정산!$C$4*O141))</f>
        <v/>
      </c>
      <c r="J141" s="25" t="str">
        <f aca="false">IF(OR($B141="",$C141="",COUNTIF($D$4:$G$4,$B141)=0),"",IF($B141=J$4,$C141*정산!$C$4*(SUM($N141:$Q141)-P141),-$C141*정산!$C$4*P141))</f>
        <v/>
      </c>
      <c r="K141" s="25" t="str">
        <f aca="false">IF(OR($B141="",$C141="",COUNTIF($D$4:$G$4,$B141)=0),"",IF($B141=K$4,$C141*정산!$C$4*(SUM($N141:$Q141)-Q141),-$C141*정산!$C$4*Q141))</f>
        <v/>
      </c>
      <c r="L141" s="26" t="str">
        <f aca="false">IF(AND($B141="",$C141=""),"",IF($B141="","승자 선택!",IF($C141="","점수 입력!",IF(COUNTIF($D$4:$G$4,$B141)=0,"승자 이름?",IF(COUNTIF(D141:G141,"쉼")&lt;&gt;1,"쉼 1명 표시!",IF(INDEX(D141:G141,MATCH($B141,$D$4:$G$4,0))="쉼","승자가 쉼?","✓"))))))</f>
        <v/>
      </c>
      <c r="M141" s="27"/>
      <c r="N141" s="21" t="n">
        <f aca="false">IF(D141="쉼",0,IF(D141="",1,IFERROR(VALUE(LEFT(D141,1)),1)))</f>
        <v>1</v>
      </c>
      <c r="O141" s="21" t="n">
        <f aca="false">IF(E141="쉼",0,IF(E141="",1,IFERROR(VALUE(LEFT(E141,1)),1)))</f>
        <v>1</v>
      </c>
      <c r="P141" s="21" t="n">
        <f aca="false">IF(F141="쉼",0,IF(F141="",1,IFERROR(VALUE(LEFT(F141,1)),1)))</f>
        <v>1</v>
      </c>
      <c r="Q141" s="21" t="n">
        <f aca="false">IF(G141="쉼",0,IF(G141="",1,IFERROR(VALUE(LEFT(G141,1)),1)))</f>
        <v>1</v>
      </c>
    </row>
    <row r="142" customFormat="false" ht="15" hidden="false" customHeight="false" outlineLevel="0" collapsed="false">
      <c r="A142" s="22" t="n">
        <v>138</v>
      </c>
      <c r="B142" s="23"/>
      <c r="C142" s="23"/>
      <c r="D142" s="24"/>
      <c r="E142" s="24"/>
      <c r="F142" s="24"/>
      <c r="G142" s="24"/>
      <c r="H142" s="25" t="str">
        <f aca="false">IF(OR($B142="",$C142="",COUNTIF($D$4:$G$4,$B142)=0),"",IF($B142=H$4,$C142*정산!$C$4*(SUM($N142:$Q142)-N142),-$C142*정산!$C$4*N142))</f>
        <v/>
      </c>
      <c r="I142" s="25" t="str">
        <f aca="false">IF(OR($B142="",$C142="",COUNTIF($D$4:$G$4,$B142)=0),"",IF($B142=I$4,$C142*정산!$C$4*(SUM($N142:$Q142)-O142),-$C142*정산!$C$4*O142))</f>
        <v/>
      </c>
      <c r="J142" s="25" t="str">
        <f aca="false">IF(OR($B142="",$C142="",COUNTIF($D$4:$G$4,$B142)=0),"",IF($B142=J$4,$C142*정산!$C$4*(SUM($N142:$Q142)-P142),-$C142*정산!$C$4*P142))</f>
        <v/>
      </c>
      <c r="K142" s="25" t="str">
        <f aca="false">IF(OR($B142="",$C142="",COUNTIF($D$4:$G$4,$B142)=0),"",IF($B142=K$4,$C142*정산!$C$4*(SUM($N142:$Q142)-Q142),-$C142*정산!$C$4*Q142))</f>
        <v/>
      </c>
      <c r="L142" s="26" t="str">
        <f aca="false">IF(AND($B142="",$C142=""),"",IF($B142="","승자 선택!",IF($C142="","점수 입력!",IF(COUNTIF($D$4:$G$4,$B142)=0,"승자 이름?",IF(COUNTIF(D142:G142,"쉼")&lt;&gt;1,"쉼 1명 표시!",IF(INDEX(D142:G142,MATCH($B142,$D$4:$G$4,0))="쉼","승자가 쉼?","✓"))))))</f>
        <v/>
      </c>
      <c r="M142" s="27"/>
      <c r="N142" s="21" t="n">
        <f aca="false">IF(D142="쉼",0,IF(D142="",1,IFERROR(VALUE(LEFT(D142,1)),1)))</f>
        <v>1</v>
      </c>
      <c r="O142" s="21" t="n">
        <f aca="false">IF(E142="쉼",0,IF(E142="",1,IFERROR(VALUE(LEFT(E142,1)),1)))</f>
        <v>1</v>
      </c>
      <c r="P142" s="21" t="n">
        <f aca="false">IF(F142="쉼",0,IF(F142="",1,IFERROR(VALUE(LEFT(F142,1)),1)))</f>
        <v>1</v>
      </c>
      <c r="Q142" s="21" t="n">
        <f aca="false">IF(G142="쉼",0,IF(G142="",1,IFERROR(VALUE(LEFT(G142,1)),1)))</f>
        <v>1</v>
      </c>
    </row>
    <row r="143" customFormat="false" ht="15" hidden="false" customHeight="false" outlineLevel="0" collapsed="false">
      <c r="A143" s="22" t="n">
        <v>139</v>
      </c>
      <c r="B143" s="23"/>
      <c r="C143" s="23"/>
      <c r="D143" s="24"/>
      <c r="E143" s="24"/>
      <c r="F143" s="24"/>
      <c r="G143" s="24"/>
      <c r="H143" s="25" t="str">
        <f aca="false">IF(OR($B143="",$C143="",COUNTIF($D$4:$G$4,$B143)=0),"",IF($B143=H$4,$C143*정산!$C$4*(SUM($N143:$Q143)-N143),-$C143*정산!$C$4*N143))</f>
        <v/>
      </c>
      <c r="I143" s="25" t="str">
        <f aca="false">IF(OR($B143="",$C143="",COUNTIF($D$4:$G$4,$B143)=0),"",IF($B143=I$4,$C143*정산!$C$4*(SUM($N143:$Q143)-O143),-$C143*정산!$C$4*O143))</f>
        <v/>
      </c>
      <c r="J143" s="25" t="str">
        <f aca="false">IF(OR($B143="",$C143="",COUNTIF($D$4:$G$4,$B143)=0),"",IF($B143=J$4,$C143*정산!$C$4*(SUM($N143:$Q143)-P143),-$C143*정산!$C$4*P143))</f>
        <v/>
      </c>
      <c r="K143" s="25" t="str">
        <f aca="false">IF(OR($B143="",$C143="",COUNTIF($D$4:$G$4,$B143)=0),"",IF($B143=K$4,$C143*정산!$C$4*(SUM($N143:$Q143)-Q143),-$C143*정산!$C$4*Q143))</f>
        <v/>
      </c>
      <c r="L143" s="26" t="str">
        <f aca="false">IF(AND($B143="",$C143=""),"",IF($B143="","승자 선택!",IF($C143="","점수 입력!",IF(COUNTIF($D$4:$G$4,$B143)=0,"승자 이름?",IF(COUNTIF(D143:G143,"쉼")&lt;&gt;1,"쉼 1명 표시!",IF(INDEX(D143:G143,MATCH($B143,$D$4:$G$4,0))="쉼","승자가 쉼?","✓"))))))</f>
        <v/>
      </c>
      <c r="M143" s="27"/>
      <c r="N143" s="21" t="n">
        <f aca="false">IF(D143="쉼",0,IF(D143="",1,IFERROR(VALUE(LEFT(D143,1)),1)))</f>
        <v>1</v>
      </c>
      <c r="O143" s="21" t="n">
        <f aca="false">IF(E143="쉼",0,IF(E143="",1,IFERROR(VALUE(LEFT(E143,1)),1)))</f>
        <v>1</v>
      </c>
      <c r="P143" s="21" t="n">
        <f aca="false">IF(F143="쉼",0,IF(F143="",1,IFERROR(VALUE(LEFT(F143,1)),1)))</f>
        <v>1</v>
      </c>
      <c r="Q143" s="21" t="n">
        <f aca="false">IF(G143="쉼",0,IF(G143="",1,IFERROR(VALUE(LEFT(G143,1)),1)))</f>
        <v>1</v>
      </c>
    </row>
    <row r="144" customFormat="false" ht="15" hidden="false" customHeight="false" outlineLevel="0" collapsed="false">
      <c r="A144" s="22" t="n">
        <v>140</v>
      </c>
      <c r="B144" s="23"/>
      <c r="C144" s="23"/>
      <c r="D144" s="24"/>
      <c r="E144" s="24"/>
      <c r="F144" s="24"/>
      <c r="G144" s="24"/>
      <c r="H144" s="25" t="str">
        <f aca="false">IF(OR($B144="",$C144="",COUNTIF($D$4:$G$4,$B144)=0),"",IF($B144=H$4,$C144*정산!$C$4*(SUM($N144:$Q144)-N144),-$C144*정산!$C$4*N144))</f>
        <v/>
      </c>
      <c r="I144" s="25" t="str">
        <f aca="false">IF(OR($B144="",$C144="",COUNTIF($D$4:$G$4,$B144)=0),"",IF($B144=I$4,$C144*정산!$C$4*(SUM($N144:$Q144)-O144),-$C144*정산!$C$4*O144))</f>
        <v/>
      </c>
      <c r="J144" s="25" t="str">
        <f aca="false">IF(OR($B144="",$C144="",COUNTIF($D$4:$G$4,$B144)=0),"",IF($B144=J$4,$C144*정산!$C$4*(SUM($N144:$Q144)-P144),-$C144*정산!$C$4*P144))</f>
        <v/>
      </c>
      <c r="K144" s="25" t="str">
        <f aca="false">IF(OR($B144="",$C144="",COUNTIF($D$4:$G$4,$B144)=0),"",IF($B144=K$4,$C144*정산!$C$4*(SUM($N144:$Q144)-Q144),-$C144*정산!$C$4*Q144))</f>
        <v/>
      </c>
      <c r="L144" s="26" t="str">
        <f aca="false">IF(AND($B144="",$C144=""),"",IF($B144="","승자 선택!",IF($C144="","점수 입력!",IF(COUNTIF($D$4:$G$4,$B144)=0,"승자 이름?",IF(COUNTIF(D144:G144,"쉼")&lt;&gt;1,"쉼 1명 표시!",IF(INDEX(D144:G144,MATCH($B144,$D$4:$G$4,0))="쉼","승자가 쉼?","✓"))))))</f>
        <v/>
      </c>
      <c r="M144" s="27"/>
      <c r="N144" s="21" t="n">
        <f aca="false">IF(D144="쉼",0,IF(D144="",1,IFERROR(VALUE(LEFT(D144,1)),1)))</f>
        <v>1</v>
      </c>
      <c r="O144" s="21" t="n">
        <f aca="false">IF(E144="쉼",0,IF(E144="",1,IFERROR(VALUE(LEFT(E144,1)),1)))</f>
        <v>1</v>
      </c>
      <c r="P144" s="21" t="n">
        <f aca="false">IF(F144="쉼",0,IF(F144="",1,IFERROR(VALUE(LEFT(F144,1)),1)))</f>
        <v>1</v>
      </c>
      <c r="Q144" s="21" t="n">
        <f aca="false">IF(G144="쉼",0,IF(G144="",1,IFERROR(VALUE(LEFT(G144,1)),1)))</f>
        <v>1</v>
      </c>
    </row>
    <row r="145" customFormat="false" ht="15" hidden="false" customHeight="false" outlineLevel="0" collapsed="false">
      <c r="A145" s="22" t="n">
        <v>141</v>
      </c>
      <c r="B145" s="23"/>
      <c r="C145" s="23"/>
      <c r="D145" s="24"/>
      <c r="E145" s="24"/>
      <c r="F145" s="24"/>
      <c r="G145" s="24"/>
      <c r="H145" s="25" t="str">
        <f aca="false">IF(OR($B145="",$C145="",COUNTIF($D$4:$G$4,$B145)=0),"",IF($B145=H$4,$C145*정산!$C$4*(SUM($N145:$Q145)-N145),-$C145*정산!$C$4*N145))</f>
        <v/>
      </c>
      <c r="I145" s="25" t="str">
        <f aca="false">IF(OR($B145="",$C145="",COUNTIF($D$4:$G$4,$B145)=0),"",IF($B145=I$4,$C145*정산!$C$4*(SUM($N145:$Q145)-O145),-$C145*정산!$C$4*O145))</f>
        <v/>
      </c>
      <c r="J145" s="25" t="str">
        <f aca="false">IF(OR($B145="",$C145="",COUNTIF($D$4:$G$4,$B145)=0),"",IF($B145=J$4,$C145*정산!$C$4*(SUM($N145:$Q145)-P145),-$C145*정산!$C$4*P145))</f>
        <v/>
      </c>
      <c r="K145" s="25" t="str">
        <f aca="false">IF(OR($B145="",$C145="",COUNTIF($D$4:$G$4,$B145)=0),"",IF($B145=K$4,$C145*정산!$C$4*(SUM($N145:$Q145)-Q145),-$C145*정산!$C$4*Q145))</f>
        <v/>
      </c>
      <c r="L145" s="26" t="str">
        <f aca="false">IF(AND($B145="",$C145=""),"",IF($B145="","승자 선택!",IF($C145="","점수 입력!",IF(COUNTIF($D$4:$G$4,$B145)=0,"승자 이름?",IF(COUNTIF(D145:G145,"쉼")&lt;&gt;1,"쉼 1명 표시!",IF(INDEX(D145:G145,MATCH($B145,$D$4:$G$4,0))="쉼","승자가 쉼?","✓"))))))</f>
        <v/>
      </c>
      <c r="M145" s="27"/>
      <c r="N145" s="21" t="n">
        <f aca="false">IF(D145="쉼",0,IF(D145="",1,IFERROR(VALUE(LEFT(D145,1)),1)))</f>
        <v>1</v>
      </c>
      <c r="O145" s="21" t="n">
        <f aca="false">IF(E145="쉼",0,IF(E145="",1,IFERROR(VALUE(LEFT(E145,1)),1)))</f>
        <v>1</v>
      </c>
      <c r="P145" s="21" t="n">
        <f aca="false">IF(F145="쉼",0,IF(F145="",1,IFERROR(VALUE(LEFT(F145,1)),1)))</f>
        <v>1</v>
      </c>
      <c r="Q145" s="21" t="n">
        <f aca="false">IF(G145="쉼",0,IF(G145="",1,IFERROR(VALUE(LEFT(G145,1)),1)))</f>
        <v>1</v>
      </c>
    </row>
    <row r="146" customFormat="false" ht="15" hidden="false" customHeight="false" outlineLevel="0" collapsed="false">
      <c r="A146" s="22" t="n">
        <v>142</v>
      </c>
      <c r="B146" s="23"/>
      <c r="C146" s="23"/>
      <c r="D146" s="24"/>
      <c r="E146" s="24"/>
      <c r="F146" s="24"/>
      <c r="G146" s="24"/>
      <c r="H146" s="25" t="str">
        <f aca="false">IF(OR($B146="",$C146="",COUNTIF($D$4:$G$4,$B146)=0),"",IF($B146=H$4,$C146*정산!$C$4*(SUM($N146:$Q146)-N146),-$C146*정산!$C$4*N146))</f>
        <v/>
      </c>
      <c r="I146" s="25" t="str">
        <f aca="false">IF(OR($B146="",$C146="",COUNTIF($D$4:$G$4,$B146)=0),"",IF($B146=I$4,$C146*정산!$C$4*(SUM($N146:$Q146)-O146),-$C146*정산!$C$4*O146))</f>
        <v/>
      </c>
      <c r="J146" s="25" t="str">
        <f aca="false">IF(OR($B146="",$C146="",COUNTIF($D$4:$G$4,$B146)=0),"",IF($B146=J$4,$C146*정산!$C$4*(SUM($N146:$Q146)-P146),-$C146*정산!$C$4*P146))</f>
        <v/>
      </c>
      <c r="K146" s="25" t="str">
        <f aca="false">IF(OR($B146="",$C146="",COUNTIF($D$4:$G$4,$B146)=0),"",IF($B146=K$4,$C146*정산!$C$4*(SUM($N146:$Q146)-Q146),-$C146*정산!$C$4*Q146))</f>
        <v/>
      </c>
      <c r="L146" s="26" t="str">
        <f aca="false">IF(AND($B146="",$C146=""),"",IF($B146="","승자 선택!",IF($C146="","점수 입력!",IF(COUNTIF($D$4:$G$4,$B146)=0,"승자 이름?",IF(COUNTIF(D146:G146,"쉼")&lt;&gt;1,"쉼 1명 표시!",IF(INDEX(D146:G146,MATCH($B146,$D$4:$G$4,0))="쉼","승자가 쉼?","✓"))))))</f>
        <v/>
      </c>
      <c r="M146" s="27"/>
      <c r="N146" s="21" t="n">
        <f aca="false">IF(D146="쉼",0,IF(D146="",1,IFERROR(VALUE(LEFT(D146,1)),1)))</f>
        <v>1</v>
      </c>
      <c r="O146" s="21" t="n">
        <f aca="false">IF(E146="쉼",0,IF(E146="",1,IFERROR(VALUE(LEFT(E146,1)),1)))</f>
        <v>1</v>
      </c>
      <c r="P146" s="21" t="n">
        <f aca="false">IF(F146="쉼",0,IF(F146="",1,IFERROR(VALUE(LEFT(F146,1)),1)))</f>
        <v>1</v>
      </c>
      <c r="Q146" s="21" t="n">
        <f aca="false">IF(G146="쉼",0,IF(G146="",1,IFERROR(VALUE(LEFT(G146,1)),1)))</f>
        <v>1</v>
      </c>
    </row>
    <row r="147" customFormat="false" ht="15" hidden="false" customHeight="false" outlineLevel="0" collapsed="false">
      <c r="A147" s="22" t="n">
        <v>143</v>
      </c>
      <c r="B147" s="23"/>
      <c r="C147" s="23"/>
      <c r="D147" s="24"/>
      <c r="E147" s="24"/>
      <c r="F147" s="24"/>
      <c r="G147" s="24"/>
      <c r="H147" s="25" t="str">
        <f aca="false">IF(OR($B147="",$C147="",COUNTIF($D$4:$G$4,$B147)=0),"",IF($B147=H$4,$C147*정산!$C$4*(SUM($N147:$Q147)-N147),-$C147*정산!$C$4*N147))</f>
        <v/>
      </c>
      <c r="I147" s="25" t="str">
        <f aca="false">IF(OR($B147="",$C147="",COUNTIF($D$4:$G$4,$B147)=0),"",IF($B147=I$4,$C147*정산!$C$4*(SUM($N147:$Q147)-O147),-$C147*정산!$C$4*O147))</f>
        <v/>
      </c>
      <c r="J147" s="25" t="str">
        <f aca="false">IF(OR($B147="",$C147="",COUNTIF($D$4:$G$4,$B147)=0),"",IF($B147=J$4,$C147*정산!$C$4*(SUM($N147:$Q147)-P147),-$C147*정산!$C$4*P147))</f>
        <v/>
      </c>
      <c r="K147" s="25" t="str">
        <f aca="false">IF(OR($B147="",$C147="",COUNTIF($D$4:$G$4,$B147)=0),"",IF($B147=K$4,$C147*정산!$C$4*(SUM($N147:$Q147)-Q147),-$C147*정산!$C$4*Q147))</f>
        <v/>
      </c>
      <c r="L147" s="26" t="str">
        <f aca="false">IF(AND($B147="",$C147=""),"",IF($B147="","승자 선택!",IF($C147="","점수 입력!",IF(COUNTIF($D$4:$G$4,$B147)=0,"승자 이름?",IF(COUNTIF(D147:G147,"쉼")&lt;&gt;1,"쉼 1명 표시!",IF(INDEX(D147:G147,MATCH($B147,$D$4:$G$4,0))="쉼","승자가 쉼?","✓"))))))</f>
        <v/>
      </c>
      <c r="M147" s="27"/>
      <c r="N147" s="21" t="n">
        <f aca="false">IF(D147="쉼",0,IF(D147="",1,IFERROR(VALUE(LEFT(D147,1)),1)))</f>
        <v>1</v>
      </c>
      <c r="O147" s="21" t="n">
        <f aca="false">IF(E147="쉼",0,IF(E147="",1,IFERROR(VALUE(LEFT(E147,1)),1)))</f>
        <v>1</v>
      </c>
      <c r="P147" s="21" t="n">
        <f aca="false">IF(F147="쉼",0,IF(F147="",1,IFERROR(VALUE(LEFT(F147,1)),1)))</f>
        <v>1</v>
      </c>
      <c r="Q147" s="21" t="n">
        <f aca="false">IF(G147="쉼",0,IF(G147="",1,IFERROR(VALUE(LEFT(G147,1)),1)))</f>
        <v>1</v>
      </c>
    </row>
    <row r="148" customFormat="false" ht="15" hidden="false" customHeight="false" outlineLevel="0" collapsed="false">
      <c r="A148" s="22" t="n">
        <v>144</v>
      </c>
      <c r="B148" s="23"/>
      <c r="C148" s="23"/>
      <c r="D148" s="24"/>
      <c r="E148" s="24"/>
      <c r="F148" s="24"/>
      <c r="G148" s="24"/>
      <c r="H148" s="25" t="str">
        <f aca="false">IF(OR($B148="",$C148="",COUNTIF($D$4:$G$4,$B148)=0),"",IF($B148=H$4,$C148*정산!$C$4*(SUM($N148:$Q148)-N148),-$C148*정산!$C$4*N148))</f>
        <v/>
      </c>
      <c r="I148" s="25" t="str">
        <f aca="false">IF(OR($B148="",$C148="",COUNTIF($D$4:$G$4,$B148)=0),"",IF($B148=I$4,$C148*정산!$C$4*(SUM($N148:$Q148)-O148),-$C148*정산!$C$4*O148))</f>
        <v/>
      </c>
      <c r="J148" s="25" t="str">
        <f aca="false">IF(OR($B148="",$C148="",COUNTIF($D$4:$G$4,$B148)=0),"",IF($B148=J$4,$C148*정산!$C$4*(SUM($N148:$Q148)-P148),-$C148*정산!$C$4*P148))</f>
        <v/>
      </c>
      <c r="K148" s="25" t="str">
        <f aca="false">IF(OR($B148="",$C148="",COUNTIF($D$4:$G$4,$B148)=0),"",IF($B148=K$4,$C148*정산!$C$4*(SUM($N148:$Q148)-Q148),-$C148*정산!$C$4*Q148))</f>
        <v/>
      </c>
      <c r="L148" s="26" t="str">
        <f aca="false">IF(AND($B148="",$C148=""),"",IF($B148="","승자 선택!",IF($C148="","점수 입력!",IF(COUNTIF($D$4:$G$4,$B148)=0,"승자 이름?",IF(COUNTIF(D148:G148,"쉼")&lt;&gt;1,"쉼 1명 표시!",IF(INDEX(D148:G148,MATCH($B148,$D$4:$G$4,0))="쉼","승자가 쉼?","✓"))))))</f>
        <v/>
      </c>
      <c r="M148" s="27"/>
      <c r="N148" s="21" t="n">
        <f aca="false">IF(D148="쉼",0,IF(D148="",1,IFERROR(VALUE(LEFT(D148,1)),1)))</f>
        <v>1</v>
      </c>
      <c r="O148" s="21" t="n">
        <f aca="false">IF(E148="쉼",0,IF(E148="",1,IFERROR(VALUE(LEFT(E148,1)),1)))</f>
        <v>1</v>
      </c>
      <c r="P148" s="21" t="n">
        <f aca="false">IF(F148="쉼",0,IF(F148="",1,IFERROR(VALUE(LEFT(F148,1)),1)))</f>
        <v>1</v>
      </c>
      <c r="Q148" s="21" t="n">
        <f aca="false">IF(G148="쉼",0,IF(G148="",1,IFERROR(VALUE(LEFT(G148,1)),1)))</f>
        <v>1</v>
      </c>
    </row>
    <row r="149" customFormat="false" ht="15" hidden="false" customHeight="false" outlineLevel="0" collapsed="false">
      <c r="A149" s="22" t="n">
        <v>145</v>
      </c>
      <c r="B149" s="23"/>
      <c r="C149" s="23"/>
      <c r="D149" s="24"/>
      <c r="E149" s="24"/>
      <c r="F149" s="24"/>
      <c r="G149" s="24"/>
      <c r="H149" s="25" t="str">
        <f aca="false">IF(OR($B149="",$C149="",COUNTIF($D$4:$G$4,$B149)=0),"",IF($B149=H$4,$C149*정산!$C$4*(SUM($N149:$Q149)-N149),-$C149*정산!$C$4*N149))</f>
        <v/>
      </c>
      <c r="I149" s="25" t="str">
        <f aca="false">IF(OR($B149="",$C149="",COUNTIF($D$4:$G$4,$B149)=0),"",IF($B149=I$4,$C149*정산!$C$4*(SUM($N149:$Q149)-O149),-$C149*정산!$C$4*O149))</f>
        <v/>
      </c>
      <c r="J149" s="25" t="str">
        <f aca="false">IF(OR($B149="",$C149="",COUNTIF($D$4:$G$4,$B149)=0),"",IF($B149=J$4,$C149*정산!$C$4*(SUM($N149:$Q149)-P149),-$C149*정산!$C$4*P149))</f>
        <v/>
      </c>
      <c r="K149" s="25" t="str">
        <f aca="false">IF(OR($B149="",$C149="",COUNTIF($D$4:$G$4,$B149)=0),"",IF($B149=K$4,$C149*정산!$C$4*(SUM($N149:$Q149)-Q149),-$C149*정산!$C$4*Q149))</f>
        <v/>
      </c>
      <c r="L149" s="26" t="str">
        <f aca="false">IF(AND($B149="",$C149=""),"",IF($B149="","승자 선택!",IF($C149="","점수 입력!",IF(COUNTIF($D$4:$G$4,$B149)=0,"승자 이름?",IF(COUNTIF(D149:G149,"쉼")&lt;&gt;1,"쉼 1명 표시!",IF(INDEX(D149:G149,MATCH($B149,$D$4:$G$4,0))="쉼","승자가 쉼?","✓"))))))</f>
        <v/>
      </c>
      <c r="M149" s="27"/>
      <c r="N149" s="21" t="n">
        <f aca="false">IF(D149="쉼",0,IF(D149="",1,IFERROR(VALUE(LEFT(D149,1)),1)))</f>
        <v>1</v>
      </c>
      <c r="O149" s="21" t="n">
        <f aca="false">IF(E149="쉼",0,IF(E149="",1,IFERROR(VALUE(LEFT(E149,1)),1)))</f>
        <v>1</v>
      </c>
      <c r="P149" s="21" t="n">
        <f aca="false">IF(F149="쉼",0,IF(F149="",1,IFERROR(VALUE(LEFT(F149,1)),1)))</f>
        <v>1</v>
      </c>
      <c r="Q149" s="21" t="n">
        <f aca="false">IF(G149="쉼",0,IF(G149="",1,IFERROR(VALUE(LEFT(G149,1)),1)))</f>
        <v>1</v>
      </c>
    </row>
    <row r="150" customFormat="false" ht="15" hidden="false" customHeight="false" outlineLevel="0" collapsed="false">
      <c r="A150" s="22" t="n">
        <v>146</v>
      </c>
      <c r="B150" s="23"/>
      <c r="C150" s="23"/>
      <c r="D150" s="24"/>
      <c r="E150" s="24"/>
      <c r="F150" s="24"/>
      <c r="G150" s="24"/>
      <c r="H150" s="25" t="str">
        <f aca="false">IF(OR($B150="",$C150="",COUNTIF($D$4:$G$4,$B150)=0),"",IF($B150=H$4,$C150*정산!$C$4*(SUM($N150:$Q150)-N150),-$C150*정산!$C$4*N150))</f>
        <v/>
      </c>
      <c r="I150" s="25" t="str">
        <f aca="false">IF(OR($B150="",$C150="",COUNTIF($D$4:$G$4,$B150)=0),"",IF($B150=I$4,$C150*정산!$C$4*(SUM($N150:$Q150)-O150),-$C150*정산!$C$4*O150))</f>
        <v/>
      </c>
      <c r="J150" s="25" t="str">
        <f aca="false">IF(OR($B150="",$C150="",COUNTIF($D$4:$G$4,$B150)=0),"",IF($B150=J$4,$C150*정산!$C$4*(SUM($N150:$Q150)-P150),-$C150*정산!$C$4*P150))</f>
        <v/>
      </c>
      <c r="K150" s="25" t="str">
        <f aca="false">IF(OR($B150="",$C150="",COUNTIF($D$4:$G$4,$B150)=0),"",IF($B150=K$4,$C150*정산!$C$4*(SUM($N150:$Q150)-Q150),-$C150*정산!$C$4*Q150))</f>
        <v/>
      </c>
      <c r="L150" s="26" t="str">
        <f aca="false">IF(AND($B150="",$C150=""),"",IF($B150="","승자 선택!",IF($C150="","점수 입력!",IF(COUNTIF($D$4:$G$4,$B150)=0,"승자 이름?",IF(COUNTIF(D150:G150,"쉼")&lt;&gt;1,"쉼 1명 표시!",IF(INDEX(D150:G150,MATCH($B150,$D$4:$G$4,0))="쉼","승자가 쉼?","✓"))))))</f>
        <v/>
      </c>
      <c r="M150" s="27"/>
      <c r="N150" s="21" t="n">
        <f aca="false">IF(D150="쉼",0,IF(D150="",1,IFERROR(VALUE(LEFT(D150,1)),1)))</f>
        <v>1</v>
      </c>
      <c r="O150" s="21" t="n">
        <f aca="false">IF(E150="쉼",0,IF(E150="",1,IFERROR(VALUE(LEFT(E150,1)),1)))</f>
        <v>1</v>
      </c>
      <c r="P150" s="21" t="n">
        <f aca="false">IF(F150="쉼",0,IF(F150="",1,IFERROR(VALUE(LEFT(F150,1)),1)))</f>
        <v>1</v>
      </c>
      <c r="Q150" s="21" t="n">
        <f aca="false">IF(G150="쉼",0,IF(G150="",1,IFERROR(VALUE(LEFT(G150,1)),1)))</f>
        <v>1</v>
      </c>
    </row>
    <row r="151" customFormat="false" ht="15" hidden="false" customHeight="false" outlineLevel="0" collapsed="false">
      <c r="A151" s="22" t="n">
        <v>147</v>
      </c>
      <c r="B151" s="23"/>
      <c r="C151" s="23"/>
      <c r="D151" s="24"/>
      <c r="E151" s="24"/>
      <c r="F151" s="24"/>
      <c r="G151" s="24"/>
      <c r="H151" s="25" t="str">
        <f aca="false">IF(OR($B151="",$C151="",COUNTIF($D$4:$G$4,$B151)=0),"",IF($B151=H$4,$C151*정산!$C$4*(SUM($N151:$Q151)-N151),-$C151*정산!$C$4*N151))</f>
        <v/>
      </c>
      <c r="I151" s="25" t="str">
        <f aca="false">IF(OR($B151="",$C151="",COUNTIF($D$4:$G$4,$B151)=0),"",IF($B151=I$4,$C151*정산!$C$4*(SUM($N151:$Q151)-O151),-$C151*정산!$C$4*O151))</f>
        <v/>
      </c>
      <c r="J151" s="25" t="str">
        <f aca="false">IF(OR($B151="",$C151="",COUNTIF($D$4:$G$4,$B151)=0),"",IF($B151=J$4,$C151*정산!$C$4*(SUM($N151:$Q151)-P151),-$C151*정산!$C$4*P151))</f>
        <v/>
      </c>
      <c r="K151" s="25" t="str">
        <f aca="false">IF(OR($B151="",$C151="",COUNTIF($D$4:$G$4,$B151)=0),"",IF($B151=K$4,$C151*정산!$C$4*(SUM($N151:$Q151)-Q151),-$C151*정산!$C$4*Q151))</f>
        <v/>
      </c>
      <c r="L151" s="26" t="str">
        <f aca="false">IF(AND($B151="",$C151=""),"",IF($B151="","승자 선택!",IF($C151="","점수 입력!",IF(COUNTIF($D$4:$G$4,$B151)=0,"승자 이름?",IF(COUNTIF(D151:G151,"쉼")&lt;&gt;1,"쉼 1명 표시!",IF(INDEX(D151:G151,MATCH($B151,$D$4:$G$4,0))="쉼","승자가 쉼?","✓"))))))</f>
        <v/>
      </c>
      <c r="M151" s="27"/>
      <c r="N151" s="21" t="n">
        <f aca="false">IF(D151="쉼",0,IF(D151="",1,IFERROR(VALUE(LEFT(D151,1)),1)))</f>
        <v>1</v>
      </c>
      <c r="O151" s="21" t="n">
        <f aca="false">IF(E151="쉼",0,IF(E151="",1,IFERROR(VALUE(LEFT(E151,1)),1)))</f>
        <v>1</v>
      </c>
      <c r="P151" s="21" t="n">
        <f aca="false">IF(F151="쉼",0,IF(F151="",1,IFERROR(VALUE(LEFT(F151,1)),1)))</f>
        <v>1</v>
      </c>
      <c r="Q151" s="21" t="n">
        <f aca="false">IF(G151="쉼",0,IF(G151="",1,IFERROR(VALUE(LEFT(G151,1)),1)))</f>
        <v>1</v>
      </c>
    </row>
    <row r="152" customFormat="false" ht="15" hidden="false" customHeight="false" outlineLevel="0" collapsed="false">
      <c r="A152" s="22" t="n">
        <v>148</v>
      </c>
      <c r="B152" s="23"/>
      <c r="C152" s="23"/>
      <c r="D152" s="24"/>
      <c r="E152" s="24"/>
      <c r="F152" s="24"/>
      <c r="G152" s="24"/>
      <c r="H152" s="25" t="str">
        <f aca="false">IF(OR($B152="",$C152="",COUNTIF($D$4:$G$4,$B152)=0),"",IF($B152=H$4,$C152*정산!$C$4*(SUM($N152:$Q152)-N152),-$C152*정산!$C$4*N152))</f>
        <v/>
      </c>
      <c r="I152" s="25" t="str">
        <f aca="false">IF(OR($B152="",$C152="",COUNTIF($D$4:$G$4,$B152)=0),"",IF($B152=I$4,$C152*정산!$C$4*(SUM($N152:$Q152)-O152),-$C152*정산!$C$4*O152))</f>
        <v/>
      </c>
      <c r="J152" s="25" t="str">
        <f aca="false">IF(OR($B152="",$C152="",COUNTIF($D$4:$G$4,$B152)=0),"",IF($B152=J$4,$C152*정산!$C$4*(SUM($N152:$Q152)-P152),-$C152*정산!$C$4*P152))</f>
        <v/>
      </c>
      <c r="K152" s="25" t="str">
        <f aca="false">IF(OR($B152="",$C152="",COUNTIF($D$4:$G$4,$B152)=0),"",IF($B152=K$4,$C152*정산!$C$4*(SUM($N152:$Q152)-Q152),-$C152*정산!$C$4*Q152))</f>
        <v/>
      </c>
      <c r="L152" s="26" t="str">
        <f aca="false">IF(AND($B152="",$C152=""),"",IF($B152="","승자 선택!",IF($C152="","점수 입력!",IF(COUNTIF($D$4:$G$4,$B152)=0,"승자 이름?",IF(COUNTIF(D152:G152,"쉼")&lt;&gt;1,"쉼 1명 표시!",IF(INDEX(D152:G152,MATCH($B152,$D$4:$G$4,0))="쉼","승자가 쉼?","✓"))))))</f>
        <v/>
      </c>
      <c r="M152" s="27"/>
      <c r="N152" s="21" t="n">
        <f aca="false">IF(D152="쉼",0,IF(D152="",1,IFERROR(VALUE(LEFT(D152,1)),1)))</f>
        <v>1</v>
      </c>
      <c r="O152" s="21" t="n">
        <f aca="false">IF(E152="쉼",0,IF(E152="",1,IFERROR(VALUE(LEFT(E152,1)),1)))</f>
        <v>1</v>
      </c>
      <c r="P152" s="21" t="n">
        <f aca="false">IF(F152="쉼",0,IF(F152="",1,IFERROR(VALUE(LEFT(F152,1)),1)))</f>
        <v>1</v>
      </c>
      <c r="Q152" s="21" t="n">
        <f aca="false">IF(G152="쉼",0,IF(G152="",1,IFERROR(VALUE(LEFT(G152,1)),1)))</f>
        <v>1</v>
      </c>
    </row>
    <row r="153" customFormat="false" ht="15" hidden="false" customHeight="false" outlineLevel="0" collapsed="false">
      <c r="A153" s="22" t="n">
        <v>149</v>
      </c>
      <c r="B153" s="23"/>
      <c r="C153" s="23"/>
      <c r="D153" s="24"/>
      <c r="E153" s="24"/>
      <c r="F153" s="24"/>
      <c r="G153" s="24"/>
      <c r="H153" s="25" t="str">
        <f aca="false">IF(OR($B153="",$C153="",COUNTIF($D$4:$G$4,$B153)=0),"",IF($B153=H$4,$C153*정산!$C$4*(SUM($N153:$Q153)-N153),-$C153*정산!$C$4*N153))</f>
        <v/>
      </c>
      <c r="I153" s="25" t="str">
        <f aca="false">IF(OR($B153="",$C153="",COUNTIF($D$4:$G$4,$B153)=0),"",IF($B153=I$4,$C153*정산!$C$4*(SUM($N153:$Q153)-O153),-$C153*정산!$C$4*O153))</f>
        <v/>
      </c>
      <c r="J153" s="25" t="str">
        <f aca="false">IF(OR($B153="",$C153="",COUNTIF($D$4:$G$4,$B153)=0),"",IF($B153=J$4,$C153*정산!$C$4*(SUM($N153:$Q153)-P153),-$C153*정산!$C$4*P153))</f>
        <v/>
      </c>
      <c r="K153" s="25" t="str">
        <f aca="false">IF(OR($B153="",$C153="",COUNTIF($D$4:$G$4,$B153)=0),"",IF($B153=K$4,$C153*정산!$C$4*(SUM($N153:$Q153)-Q153),-$C153*정산!$C$4*Q153))</f>
        <v/>
      </c>
      <c r="L153" s="26" t="str">
        <f aca="false">IF(AND($B153="",$C153=""),"",IF($B153="","승자 선택!",IF($C153="","점수 입력!",IF(COUNTIF($D$4:$G$4,$B153)=0,"승자 이름?",IF(COUNTIF(D153:G153,"쉼")&lt;&gt;1,"쉼 1명 표시!",IF(INDEX(D153:G153,MATCH($B153,$D$4:$G$4,0))="쉼","승자가 쉼?","✓"))))))</f>
        <v/>
      </c>
      <c r="M153" s="27"/>
      <c r="N153" s="21" t="n">
        <f aca="false">IF(D153="쉼",0,IF(D153="",1,IFERROR(VALUE(LEFT(D153,1)),1)))</f>
        <v>1</v>
      </c>
      <c r="O153" s="21" t="n">
        <f aca="false">IF(E153="쉼",0,IF(E153="",1,IFERROR(VALUE(LEFT(E153,1)),1)))</f>
        <v>1</v>
      </c>
      <c r="P153" s="21" t="n">
        <f aca="false">IF(F153="쉼",0,IF(F153="",1,IFERROR(VALUE(LEFT(F153,1)),1)))</f>
        <v>1</v>
      </c>
      <c r="Q153" s="21" t="n">
        <f aca="false">IF(G153="쉼",0,IF(G153="",1,IFERROR(VALUE(LEFT(G153,1)),1)))</f>
        <v>1</v>
      </c>
    </row>
    <row r="154" customFormat="false" ht="15" hidden="false" customHeight="false" outlineLevel="0" collapsed="false">
      <c r="A154" s="22" t="n">
        <v>150</v>
      </c>
      <c r="B154" s="23"/>
      <c r="C154" s="23"/>
      <c r="D154" s="24"/>
      <c r="E154" s="24"/>
      <c r="F154" s="24"/>
      <c r="G154" s="24"/>
      <c r="H154" s="25" t="str">
        <f aca="false">IF(OR($B154="",$C154="",COUNTIF($D$4:$G$4,$B154)=0),"",IF($B154=H$4,$C154*정산!$C$4*(SUM($N154:$Q154)-N154),-$C154*정산!$C$4*N154))</f>
        <v/>
      </c>
      <c r="I154" s="25" t="str">
        <f aca="false">IF(OR($B154="",$C154="",COUNTIF($D$4:$G$4,$B154)=0),"",IF($B154=I$4,$C154*정산!$C$4*(SUM($N154:$Q154)-O154),-$C154*정산!$C$4*O154))</f>
        <v/>
      </c>
      <c r="J154" s="25" t="str">
        <f aca="false">IF(OR($B154="",$C154="",COUNTIF($D$4:$G$4,$B154)=0),"",IF($B154=J$4,$C154*정산!$C$4*(SUM($N154:$Q154)-P154),-$C154*정산!$C$4*P154))</f>
        <v/>
      </c>
      <c r="K154" s="25" t="str">
        <f aca="false">IF(OR($B154="",$C154="",COUNTIF($D$4:$G$4,$B154)=0),"",IF($B154=K$4,$C154*정산!$C$4*(SUM($N154:$Q154)-Q154),-$C154*정산!$C$4*Q154))</f>
        <v/>
      </c>
      <c r="L154" s="26" t="str">
        <f aca="false">IF(AND($B154="",$C154=""),"",IF($B154="","승자 선택!",IF($C154="","점수 입력!",IF(COUNTIF($D$4:$G$4,$B154)=0,"승자 이름?",IF(COUNTIF(D154:G154,"쉼")&lt;&gt;1,"쉼 1명 표시!",IF(INDEX(D154:G154,MATCH($B154,$D$4:$G$4,0))="쉼","승자가 쉼?","✓"))))))</f>
        <v/>
      </c>
      <c r="M154" s="27"/>
      <c r="N154" s="21" t="n">
        <f aca="false">IF(D154="쉼",0,IF(D154="",1,IFERROR(VALUE(LEFT(D154,1)),1)))</f>
        <v>1</v>
      </c>
      <c r="O154" s="21" t="n">
        <f aca="false">IF(E154="쉼",0,IF(E154="",1,IFERROR(VALUE(LEFT(E154,1)),1)))</f>
        <v>1</v>
      </c>
      <c r="P154" s="21" t="n">
        <f aca="false">IF(F154="쉼",0,IF(F154="",1,IFERROR(VALUE(LEFT(F154,1)),1)))</f>
        <v>1</v>
      </c>
      <c r="Q154" s="21" t="n">
        <f aca="false">IF(G154="쉼",0,IF(G154="",1,IFERROR(VALUE(LEFT(G154,1)),1)))</f>
        <v>1</v>
      </c>
    </row>
    <row r="155" customFormat="false" ht="15" hidden="false" customHeight="false" outlineLevel="0" collapsed="false">
      <c r="A155" s="22" t="n">
        <v>151</v>
      </c>
      <c r="B155" s="23"/>
      <c r="C155" s="23"/>
      <c r="D155" s="24"/>
      <c r="E155" s="24"/>
      <c r="F155" s="24"/>
      <c r="G155" s="24"/>
      <c r="H155" s="25" t="str">
        <f aca="false">IF(OR($B155="",$C155="",COUNTIF($D$4:$G$4,$B155)=0),"",IF($B155=H$4,$C155*정산!$C$4*(SUM($N155:$Q155)-N155),-$C155*정산!$C$4*N155))</f>
        <v/>
      </c>
      <c r="I155" s="25" t="str">
        <f aca="false">IF(OR($B155="",$C155="",COUNTIF($D$4:$G$4,$B155)=0),"",IF($B155=I$4,$C155*정산!$C$4*(SUM($N155:$Q155)-O155),-$C155*정산!$C$4*O155))</f>
        <v/>
      </c>
      <c r="J155" s="25" t="str">
        <f aca="false">IF(OR($B155="",$C155="",COUNTIF($D$4:$G$4,$B155)=0),"",IF($B155=J$4,$C155*정산!$C$4*(SUM($N155:$Q155)-P155),-$C155*정산!$C$4*P155))</f>
        <v/>
      </c>
      <c r="K155" s="25" t="str">
        <f aca="false">IF(OR($B155="",$C155="",COUNTIF($D$4:$G$4,$B155)=0),"",IF($B155=K$4,$C155*정산!$C$4*(SUM($N155:$Q155)-Q155),-$C155*정산!$C$4*Q155))</f>
        <v/>
      </c>
      <c r="L155" s="26" t="str">
        <f aca="false">IF(AND($B155="",$C155=""),"",IF($B155="","승자 선택!",IF($C155="","점수 입력!",IF(COUNTIF($D$4:$G$4,$B155)=0,"승자 이름?",IF(COUNTIF(D155:G155,"쉼")&lt;&gt;1,"쉼 1명 표시!",IF(INDEX(D155:G155,MATCH($B155,$D$4:$G$4,0))="쉼","승자가 쉼?","✓"))))))</f>
        <v/>
      </c>
      <c r="M155" s="27"/>
      <c r="N155" s="21" t="n">
        <f aca="false">IF(D155="쉼",0,IF(D155="",1,IFERROR(VALUE(LEFT(D155,1)),1)))</f>
        <v>1</v>
      </c>
      <c r="O155" s="21" t="n">
        <f aca="false">IF(E155="쉼",0,IF(E155="",1,IFERROR(VALUE(LEFT(E155,1)),1)))</f>
        <v>1</v>
      </c>
      <c r="P155" s="21" t="n">
        <f aca="false">IF(F155="쉼",0,IF(F155="",1,IFERROR(VALUE(LEFT(F155,1)),1)))</f>
        <v>1</v>
      </c>
      <c r="Q155" s="21" t="n">
        <f aca="false">IF(G155="쉼",0,IF(G155="",1,IFERROR(VALUE(LEFT(G155,1)),1)))</f>
        <v>1</v>
      </c>
    </row>
    <row r="156" customFormat="false" ht="15" hidden="false" customHeight="false" outlineLevel="0" collapsed="false">
      <c r="A156" s="22" t="n">
        <v>152</v>
      </c>
      <c r="B156" s="23"/>
      <c r="C156" s="23"/>
      <c r="D156" s="24"/>
      <c r="E156" s="24"/>
      <c r="F156" s="24"/>
      <c r="G156" s="24"/>
      <c r="H156" s="25" t="str">
        <f aca="false">IF(OR($B156="",$C156="",COUNTIF($D$4:$G$4,$B156)=0),"",IF($B156=H$4,$C156*정산!$C$4*(SUM($N156:$Q156)-N156),-$C156*정산!$C$4*N156))</f>
        <v/>
      </c>
      <c r="I156" s="25" t="str">
        <f aca="false">IF(OR($B156="",$C156="",COUNTIF($D$4:$G$4,$B156)=0),"",IF($B156=I$4,$C156*정산!$C$4*(SUM($N156:$Q156)-O156),-$C156*정산!$C$4*O156))</f>
        <v/>
      </c>
      <c r="J156" s="25" t="str">
        <f aca="false">IF(OR($B156="",$C156="",COUNTIF($D$4:$G$4,$B156)=0),"",IF($B156=J$4,$C156*정산!$C$4*(SUM($N156:$Q156)-P156),-$C156*정산!$C$4*P156))</f>
        <v/>
      </c>
      <c r="K156" s="25" t="str">
        <f aca="false">IF(OR($B156="",$C156="",COUNTIF($D$4:$G$4,$B156)=0),"",IF($B156=K$4,$C156*정산!$C$4*(SUM($N156:$Q156)-Q156),-$C156*정산!$C$4*Q156))</f>
        <v/>
      </c>
      <c r="L156" s="26" t="str">
        <f aca="false">IF(AND($B156="",$C156=""),"",IF($B156="","승자 선택!",IF($C156="","점수 입력!",IF(COUNTIF($D$4:$G$4,$B156)=0,"승자 이름?",IF(COUNTIF(D156:G156,"쉼")&lt;&gt;1,"쉼 1명 표시!",IF(INDEX(D156:G156,MATCH($B156,$D$4:$G$4,0))="쉼","승자가 쉼?","✓"))))))</f>
        <v/>
      </c>
      <c r="M156" s="27"/>
      <c r="N156" s="21" t="n">
        <f aca="false">IF(D156="쉼",0,IF(D156="",1,IFERROR(VALUE(LEFT(D156,1)),1)))</f>
        <v>1</v>
      </c>
      <c r="O156" s="21" t="n">
        <f aca="false">IF(E156="쉼",0,IF(E156="",1,IFERROR(VALUE(LEFT(E156,1)),1)))</f>
        <v>1</v>
      </c>
      <c r="P156" s="21" t="n">
        <f aca="false">IF(F156="쉼",0,IF(F156="",1,IFERROR(VALUE(LEFT(F156,1)),1)))</f>
        <v>1</v>
      </c>
      <c r="Q156" s="21" t="n">
        <f aca="false">IF(G156="쉼",0,IF(G156="",1,IFERROR(VALUE(LEFT(G156,1)),1)))</f>
        <v>1</v>
      </c>
    </row>
    <row r="157" customFormat="false" ht="15" hidden="false" customHeight="false" outlineLevel="0" collapsed="false">
      <c r="A157" s="22" t="n">
        <v>153</v>
      </c>
      <c r="B157" s="23"/>
      <c r="C157" s="23"/>
      <c r="D157" s="24"/>
      <c r="E157" s="24"/>
      <c r="F157" s="24"/>
      <c r="G157" s="24"/>
      <c r="H157" s="25" t="str">
        <f aca="false">IF(OR($B157="",$C157="",COUNTIF($D$4:$G$4,$B157)=0),"",IF($B157=H$4,$C157*정산!$C$4*(SUM($N157:$Q157)-N157),-$C157*정산!$C$4*N157))</f>
        <v/>
      </c>
      <c r="I157" s="25" t="str">
        <f aca="false">IF(OR($B157="",$C157="",COUNTIF($D$4:$G$4,$B157)=0),"",IF($B157=I$4,$C157*정산!$C$4*(SUM($N157:$Q157)-O157),-$C157*정산!$C$4*O157))</f>
        <v/>
      </c>
      <c r="J157" s="25" t="str">
        <f aca="false">IF(OR($B157="",$C157="",COUNTIF($D$4:$G$4,$B157)=0),"",IF($B157=J$4,$C157*정산!$C$4*(SUM($N157:$Q157)-P157),-$C157*정산!$C$4*P157))</f>
        <v/>
      </c>
      <c r="K157" s="25" t="str">
        <f aca="false">IF(OR($B157="",$C157="",COUNTIF($D$4:$G$4,$B157)=0),"",IF($B157=K$4,$C157*정산!$C$4*(SUM($N157:$Q157)-Q157),-$C157*정산!$C$4*Q157))</f>
        <v/>
      </c>
      <c r="L157" s="26" t="str">
        <f aca="false">IF(AND($B157="",$C157=""),"",IF($B157="","승자 선택!",IF($C157="","점수 입력!",IF(COUNTIF($D$4:$G$4,$B157)=0,"승자 이름?",IF(COUNTIF(D157:G157,"쉼")&lt;&gt;1,"쉼 1명 표시!",IF(INDEX(D157:G157,MATCH($B157,$D$4:$G$4,0))="쉼","승자가 쉼?","✓"))))))</f>
        <v/>
      </c>
      <c r="M157" s="27"/>
      <c r="N157" s="21" t="n">
        <f aca="false">IF(D157="쉼",0,IF(D157="",1,IFERROR(VALUE(LEFT(D157,1)),1)))</f>
        <v>1</v>
      </c>
      <c r="O157" s="21" t="n">
        <f aca="false">IF(E157="쉼",0,IF(E157="",1,IFERROR(VALUE(LEFT(E157,1)),1)))</f>
        <v>1</v>
      </c>
      <c r="P157" s="21" t="n">
        <f aca="false">IF(F157="쉼",0,IF(F157="",1,IFERROR(VALUE(LEFT(F157,1)),1)))</f>
        <v>1</v>
      </c>
      <c r="Q157" s="21" t="n">
        <f aca="false">IF(G157="쉼",0,IF(G157="",1,IFERROR(VALUE(LEFT(G157,1)),1)))</f>
        <v>1</v>
      </c>
    </row>
    <row r="158" customFormat="false" ht="15" hidden="false" customHeight="false" outlineLevel="0" collapsed="false">
      <c r="A158" s="22" t="n">
        <v>154</v>
      </c>
      <c r="B158" s="23"/>
      <c r="C158" s="23"/>
      <c r="D158" s="24"/>
      <c r="E158" s="24"/>
      <c r="F158" s="24"/>
      <c r="G158" s="24"/>
      <c r="H158" s="25" t="str">
        <f aca="false">IF(OR($B158="",$C158="",COUNTIF($D$4:$G$4,$B158)=0),"",IF($B158=H$4,$C158*정산!$C$4*(SUM($N158:$Q158)-N158),-$C158*정산!$C$4*N158))</f>
        <v/>
      </c>
      <c r="I158" s="25" t="str">
        <f aca="false">IF(OR($B158="",$C158="",COUNTIF($D$4:$G$4,$B158)=0),"",IF($B158=I$4,$C158*정산!$C$4*(SUM($N158:$Q158)-O158),-$C158*정산!$C$4*O158))</f>
        <v/>
      </c>
      <c r="J158" s="25" t="str">
        <f aca="false">IF(OR($B158="",$C158="",COUNTIF($D$4:$G$4,$B158)=0),"",IF($B158=J$4,$C158*정산!$C$4*(SUM($N158:$Q158)-P158),-$C158*정산!$C$4*P158))</f>
        <v/>
      </c>
      <c r="K158" s="25" t="str">
        <f aca="false">IF(OR($B158="",$C158="",COUNTIF($D$4:$G$4,$B158)=0),"",IF($B158=K$4,$C158*정산!$C$4*(SUM($N158:$Q158)-Q158),-$C158*정산!$C$4*Q158))</f>
        <v/>
      </c>
      <c r="L158" s="26" t="str">
        <f aca="false">IF(AND($B158="",$C158=""),"",IF($B158="","승자 선택!",IF($C158="","점수 입력!",IF(COUNTIF($D$4:$G$4,$B158)=0,"승자 이름?",IF(COUNTIF(D158:G158,"쉼")&lt;&gt;1,"쉼 1명 표시!",IF(INDEX(D158:G158,MATCH($B158,$D$4:$G$4,0))="쉼","승자가 쉼?","✓"))))))</f>
        <v/>
      </c>
      <c r="M158" s="27"/>
      <c r="N158" s="21" t="n">
        <f aca="false">IF(D158="쉼",0,IF(D158="",1,IFERROR(VALUE(LEFT(D158,1)),1)))</f>
        <v>1</v>
      </c>
      <c r="O158" s="21" t="n">
        <f aca="false">IF(E158="쉼",0,IF(E158="",1,IFERROR(VALUE(LEFT(E158,1)),1)))</f>
        <v>1</v>
      </c>
      <c r="P158" s="21" t="n">
        <f aca="false">IF(F158="쉼",0,IF(F158="",1,IFERROR(VALUE(LEFT(F158,1)),1)))</f>
        <v>1</v>
      </c>
      <c r="Q158" s="21" t="n">
        <f aca="false">IF(G158="쉼",0,IF(G158="",1,IFERROR(VALUE(LEFT(G158,1)),1)))</f>
        <v>1</v>
      </c>
    </row>
    <row r="159" customFormat="false" ht="15" hidden="false" customHeight="false" outlineLevel="0" collapsed="false">
      <c r="A159" s="22" t="n">
        <v>155</v>
      </c>
      <c r="B159" s="23"/>
      <c r="C159" s="23"/>
      <c r="D159" s="24"/>
      <c r="E159" s="24"/>
      <c r="F159" s="24"/>
      <c r="G159" s="24"/>
      <c r="H159" s="25" t="str">
        <f aca="false">IF(OR($B159="",$C159="",COUNTIF($D$4:$G$4,$B159)=0),"",IF($B159=H$4,$C159*정산!$C$4*(SUM($N159:$Q159)-N159),-$C159*정산!$C$4*N159))</f>
        <v/>
      </c>
      <c r="I159" s="25" t="str">
        <f aca="false">IF(OR($B159="",$C159="",COUNTIF($D$4:$G$4,$B159)=0),"",IF($B159=I$4,$C159*정산!$C$4*(SUM($N159:$Q159)-O159),-$C159*정산!$C$4*O159))</f>
        <v/>
      </c>
      <c r="J159" s="25" t="str">
        <f aca="false">IF(OR($B159="",$C159="",COUNTIF($D$4:$G$4,$B159)=0),"",IF($B159=J$4,$C159*정산!$C$4*(SUM($N159:$Q159)-P159),-$C159*정산!$C$4*P159))</f>
        <v/>
      </c>
      <c r="K159" s="25" t="str">
        <f aca="false">IF(OR($B159="",$C159="",COUNTIF($D$4:$G$4,$B159)=0),"",IF($B159=K$4,$C159*정산!$C$4*(SUM($N159:$Q159)-Q159),-$C159*정산!$C$4*Q159))</f>
        <v/>
      </c>
      <c r="L159" s="26" t="str">
        <f aca="false">IF(AND($B159="",$C159=""),"",IF($B159="","승자 선택!",IF($C159="","점수 입력!",IF(COUNTIF($D$4:$G$4,$B159)=0,"승자 이름?",IF(COUNTIF(D159:G159,"쉼")&lt;&gt;1,"쉼 1명 표시!",IF(INDEX(D159:G159,MATCH($B159,$D$4:$G$4,0))="쉼","승자가 쉼?","✓"))))))</f>
        <v/>
      </c>
      <c r="M159" s="27"/>
      <c r="N159" s="21" t="n">
        <f aca="false">IF(D159="쉼",0,IF(D159="",1,IFERROR(VALUE(LEFT(D159,1)),1)))</f>
        <v>1</v>
      </c>
      <c r="O159" s="21" t="n">
        <f aca="false">IF(E159="쉼",0,IF(E159="",1,IFERROR(VALUE(LEFT(E159,1)),1)))</f>
        <v>1</v>
      </c>
      <c r="P159" s="21" t="n">
        <f aca="false">IF(F159="쉼",0,IF(F159="",1,IFERROR(VALUE(LEFT(F159,1)),1)))</f>
        <v>1</v>
      </c>
      <c r="Q159" s="21" t="n">
        <f aca="false">IF(G159="쉼",0,IF(G159="",1,IFERROR(VALUE(LEFT(G159,1)),1)))</f>
        <v>1</v>
      </c>
    </row>
    <row r="160" customFormat="false" ht="15" hidden="false" customHeight="false" outlineLevel="0" collapsed="false">
      <c r="A160" s="22" t="n">
        <v>156</v>
      </c>
      <c r="B160" s="23"/>
      <c r="C160" s="23"/>
      <c r="D160" s="24"/>
      <c r="E160" s="24"/>
      <c r="F160" s="24"/>
      <c r="G160" s="24"/>
      <c r="H160" s="25" t="str">
        <f aca="false">IF(OR($B160="",$C160="",COUNTIF($D$4:$G$4,$B160)=0),"",IF($B160=H$4,$C160*정산!$C$4*(SUM($N160:$Q160)-N160),-$C160*정산!$C$4*N160))</f>
        <v/>
      </c>
      <c r="I160" s="25" t="str">
        <f aca="false">IF(OR($B160="",$C160="",COUNTIF($D$4:$G$4,$B160)=0),"",IF($B160=I$4,$C160*정산!$C$4*(SUM($N160:$Q160)-O160),-$C160*정산!$C$4*O160))</f>
        <v/>
      </c>
      <c r="J160" s="25" t="str">
        <f aca="false">IF(OR($B160="",$C160="",COUNTIF($D$4:$G$4,$B160)=0),"",IF($B160=J$4,$C160*정산!$C$4*(SUM($N160:$Q160)-P160),-$C160*정산!$C$4*P160))</f>
        <v/>
      </c>
      <c r="K160" s="25" t="str">
        <f aca="false">IF(OR($B160="",$C160="",COUNTIF($D$4:$G$4,$B160)=0),"",IF($B160=K$4,$C160*정산!$C$4*(SUM($N160:$Q160)-Q160),-$C160*정산!$C$4*Q160))</f>
        <v/>
      </c>
      <c r="L160" s="26" t="str">
        <f aca="false">IF(AND($B160="",$C160=""),"",IF($B160="","승자 선택!",IF($C160="","점수 입력!",IF(COUNTIF($D$4:$G$4,$B160)=0,"승자 이름?",IF(COUNTIF(D160:G160,"쉼")&lt;&gt;1,"쉼 1명 표시!",IF(INDEX(D160:G160,MATCH($B160,$D$4:$G$4,0))="쉼","승자가 쉼?","✓"))))))</f>
        <v/>
      </c>
      <c r="M160" s="27"/>
      <c r="N160" s="21" t="n">
        <f aca="false">IF(D160="쉼",0,IF(D160="",1,IFERROR(VALUE(LEFT(D160,1)),1)))</f>
        <v>1</v>
      </c>
      <c r="O160" s="21" t="n">
        <f aca="false">IF(E160="쉼",0,IF(E160="",1,IFERROR(VALUE(LEFT(E160,1)),1)))</f>
        <v>1</v>
      </c>
      <c r="P160" s="21" t="n">
        <f aca="false">IF(F160="쉼",0,IF(F160="",1,IFERROR(VALUE(LEFT(F160,1)),1)))</f>
        <v>1</v>
      </c>
      <c r="Q160" s="21" t="n">
        <f aca="false">IF(G160="쉼",0,IF(G160="",1,IFERROR(VALUE(LEFT(G160,1)),1)))</f>
        <v>1</v>
      </c>
    </row>
    <row r="161" customFormat="false" ht="15" hidden="false" customHeight="false" outlineLevel="0" collapsed="false">
      <c r="A161" s="22" t="n">
        <v>157</v>
      </c>
      <c r="B161" s="23"/>
      <c r="C161" s="23"/>
      <c r="D161" s="24"/>
      <c r="E161" s="24"/>
      <c r="F161" s="24"/>
      <c r="G161" s="24"/>
      <c r="H161" s="25" t="str">
        <f aca="false">IF(OR($B161="",$C161="",COUNTIF($D$4:$G$4,$B161)=0),"",IF($B161=H$4,$C161*정산!$C$4*(SUM($N161:$Q161)-N161),-$C161*정산!$C$4*N161))</f>
        <v/>
      </c>
      <c r="I161" s="25" t="str">
        <f aca="false">IF(OR($B161="",$C161="",COUNTIF($D$4:$G$4,$B161)=0),"",IF($B161=I$4,$C161*정산!$C$4*(SUM($N161:$Q161)-O161),-$C161*정산!$C$4*O161))</f>
        <v/>
      </c>
      <c r="J161" s="25" t="str">
        <f aca="false">IF(OR($B161="",$C161="",COUNTIF($D$4:$G$4,$B161)=0),"",IF($B161=J$4,$C161*정산!$C$4*(SUM($N161:$Q161)-P161),-$C161*정산!$C$4*P161))</f>
        <v/>
      </c>
      <c r="K161" s="25" t="str">
        <f aca="false">IF(OR($B161="",$C161="",COUNTIF($D$4:$G$4,$B161)=0),"",IF($B161=K$4,$C161*정산!$C$4*(SUM($N161:$Q161)-Q161),-$C161*정산!$C$4*Q161))</f>
        <v/>
      </c>
      <c r="L161" s="26" t="str">
        <f aca="false">IF(AND($B161="",$C161=""),"",IF($B161="","승자 선택!",IF($C161="","점수 입력!",IF(COUNTIF($D$4:$G$4,$B161)=0,"승자 이름?",IF(COUNTIF(D161:G161,"쉼")&lt;&gt;1,"쉼 1명 표시!",IF(INDEX(D161:G161,MATCH($B161,$D$4:$G$4,0))="쉼","승자가 쉼?","✓"))))))</f>
        <v/>
      </c>
      <c r="M161" s="27"/>
      <c r="N161" s="21" t="n">
        <f aca="false">IF(D161="쉼",0,IF(D161="",1,IFERROR(VALUE(LEFT(D161,1)),1)))</f>
        <v>1</v>
      </c>
      <c r="O161" s="21" t="n">
        <f aca="false">IF(E161="쉼",0,IF(E161="",1,IFERROR(VALUE(LEFT(E161,1)),1)))</f>
        <v>1</v>
      </c>
      <c r="P161" s="21" t="n">
        <f aca="false">IF(F161="쉼",0,IF(F161="",1,IFERROR(VALUE(LEFT(F161,1)),1)))</f>
        <v>1</v>
      </c>
      <c r="Q161" s="21" t="n">
        <f aca="false">IF(G161="쉼",0,IF(G161="",1,IFERROR(VALUE(LEFT(G161,1)),1)))</f>
        <v>1</v>
      </c>
    </row>
    <row r="162" customFormat="false" ht="15" hidden="false" customHeight="false" outlineLevel="0" collapsed="false">
      <c r="A162" s="22" t="n">
        <v>158</v>
      </c>
      <c r="B162" s="23"/>
      <c r="C162" s="23"/>
      <c r="D162" s="24"/>
      <c r="E162" s="24"/>
      <c r="F162" s="24"/>
      <c r="G162" s="24"/>
      <c r="H162" s="25" t="str">
        <f aca="false">IF(OR($B162="",$C162="",COUNTIF($D$4:$G$4,$B162)=0),"",IF($B162=H$4,$C162*정산!$C$4*(SUM($N162:$Q162)-N162),-$C162*정산!$C$4*N162))</f>
        <v/>
      </c>
      <c r="I162" s="25" t="str">
        <f aca="false">IF(OR($B162="",$C162="",COUNTIF($D$4:$G$4,$B162)=0),"",IF($B162=I$4,$C162*정산!$C$4*(SUM($N162:$Q162)-O162),-$C162*정산!$C$4*O162))</f>
        <v/>
      </c>
      <c r="J162" s="25" t="str">
        <f aca="false">IF(OR($B162="",$C162="",COUNTIF($D$4:$G$4,$B162)=0),"",IF($B162=J$4,$C162*정산!$C$4*(SUM($N162:$Q162)-P162),-$C162*정산!$C$4*P162))</f>
        <v/>
      </c>
      <c r="K162" s="25" t="str">
        <f aca="false">IF(OR($B162="",$C162="",COUNTIF($D$4:$G$4,$B162)=0),"",IF($B162=K$4,$C162*정산!$C$4*(SUM($N162:$Q162)-Q162),-$C162*정산!$C$4*Q162))</f>
        <v/>
      </c>
      <c r="L162" s="26" t="str">
        <f aca="false">IF(AND($B162="",$C162=""),"",IF($B162="","승자 선택!",IF($C162="","점수 입력!",IF(COUNTIF($D$4:$G$4,$B162)=0,"승자 이름?",IF(COUNTIF(D162:G162,"쉼")&lt;&gt;1,"쉼 1명 표시!",IF(INDEX(D162:G162,MATCH($B162,$D$4:$G$4,0))="쉼","승자가 쉼?","✓"))))))</f>
        <v/>
      </c>
      <c r="M162" s="27"/>
      <c r="N162" s="21" t="n">
        <f aca="false">IF(D162="쉼",0,IF(D162="",1,IFERROR(VALUE(LEFT(D162,1)),1)))</f>
        <v>1</v>
      </c>
      <c r="O162" s="21" t="n">
        <f aca="false">IF(E162="쉼",0,IF(E162="",1,IFERROR(VALUE(LEFT(E162,1)),1)))</f>
        <v>1</v>
      </c>
      <c r="P162" s="21" t="n">
        <f aca="false">IF(F162="쉼",0,IF(F162="",1,IFERROR(VALUE(LEFT(F162,1)),1)))</f>
        <v>1</v>
      </c>
      <c r="Q162" s="21" t="n">
        <f aca="false">IF(G162="쉼",0,IF(G162="",1,IFERROR(VALUE(LEFT(G162,1)),1)))</f>
        <v>1</v>
      </c>
    </row>
    <row r="163" customFormat="false" ht="15" hidden="false" customHeight="false" outlineLevel="0" collapsed="false">
      <c r="A163" s="22" t="n">
        <v>159</v>
      </c>
      <c r="B163" s="23"/>
      <c r="C163" s="23"/>
      <c r="D163" s="24"/>
      <c r="E163" s="24"/>
      <c r="F163" s="24"/>
      <c r="G163" s="24"/>
      <c r="H163" s="25" t="str">
        <f aca="false">IF(OR($B163="",$C163="",COUNTIF($D$4:$G$4,$B163)=0),"",IF($B163=H$4,$C163*정산!$C$4*(SUM($N163:$Q163)-N163),-$C163*정산!$C$4*N163))</f>
        <v/>
      </c>
      <c r="I163" s="25" t="str">
        <f aca="false">IF(OR($B163="",$C163="",COUNTIF($D$4:$G$4,$B163)=0),"",IF($B163=I$4,$C163*정산!$C$4*(SUM($N163:$Q163)-O163),-$C163*정산!$C$4*O163))</f>
        <v/>
      </c>
      <c r="J163" s="25" t="str">
        <f aca="false">IF(OR($B163="",$C163="",COUNTIF($D$4:$G$4,$B163)=0),"",IF($B163=J$4,$C163*정산!$C$4*(SUM($N163:$Q163)-P163),-$C163*정산!$C$4*P163))</f>
        <v/>
      </c>
      <c r="K163" s="25" t="str">
        <f aca="false">IF(OR($B163="",$C163="",COUNTIF($D$4:$G$4,$B163)=0),"",IF($B163=K$4,$C163*정산!$C$4*(SUM($N163:$Q163)-Q163),-$C163*정산!$C$4*Q163))</f>
        <v/>
      </c>
      <c r="L163" s="26" t="str">
        <f aca="false">IF(AND($B163="",$C163=""),"",IF($B163="","승자 선택!",IF($C163="","점수 입력!",IF(COUNTIF($D$4:$G$4,$B163)=0,"승자 이름?",IF(COUNTIF(D163:G163,"쉼")&lt;&gt;1,"쉼 1명 표시!",IF(INDEX(D163:G163,MATCH($B163,$D$4:$G$4,0))="쉼","승자가 쉼?","✓"))))))</f>
        <v/>
      </c>
      <c r="M163" s="27"/>
      <c r="N163" s="21" t="n">
        <f aca="false">IF(D163="쉼",0,IF(D163="",1,IFERROR(VALUE(LEFT(D163,1)),1)))</f>
        <v>1</v>
      </c>
      <c r="O163" s="21" t="n">
        <f aca="false">IF(E163="쉼",0,IF(E163="",1,IFERROR(VALUE(LEFT(E163,1)),1)))</f>
        <v>1</v>
      </c>
      <c r="P163" s="21" t="n">
        <f aca="false">IF(F163="쉼",0,IF(F163="",1,IFERROR(VALUE(LEFT(F163,1)),1)))</f>
        <v>1</v>
      </c>
      <c r="Q163" s="21" t="n">
        <f aca="false">IF(G163="쉼",0,IF(G163="",1,IFERROR(VALUE(LEFT(G163,1)),1)))</f>
        <v>1</v>
      </c>
    </row>
    <row r="164" customFormat="false" ht="15" hidden="false" customHeight="false" outlineLevel="0" collapsed="false">
      <c r="A164" s="22" t="n">
        <v>160</v>
      </c>
      <c r="B164" s="23"/>
      <c r="C164" s="23"/>
      <c r="D164" s="24"/>
      <c r="E164" s="24"/>
      <c r="F164" s="24"/>
      <c r="G164" s="24"/>
      <c r="H164" s="25" t="str">
        <f aca="false">IF(OR($B164="",$C164="",COUNTIF($D$4:$G$4,$B164)=0),"",IF($B164=H$4,$C164*정산!$C$4*(SUM($N164:$Q164)-N164),-$C164*정산!$C$4*N164))</f>
        <v/>
      </c>
      <c r="I164" s="25" t="str">
        <f aca="false">IF(OR($B164="",$C164="",COUNTIF($D$4:$G$4,$B164)=0),"",IF($B164=I$4,$C164*정산!$C$4*(SUM($N164:$Q164)-O164),-$C164*정산!$C$4*O164))</f>
        <v/>
      </c>
      <c r="J164" s="25" t="str">
        <f aca="false">IF(OR($B164="",$C164="",COUNTIF($D$4:$G$4,$B164)=0),"",IF($B164=J$4,$C164*정산!$C$4*(SUM($N164:$Q164)-P164),-$C164*정산!$C$4*P164))</f>
        <v/>
      </c>
      <c r="K164" s="25" t="str">
        <f aca="false">IF(OR($B164="",$C164="",COUNTIF($D$4:$G$4,$B164)=0),"",IF($B164=K$4,$C164*정산!$C$4*(SUM($N164:$Q164)-Q164),-$C164*정산!$C$4*Q164))</f>
        <v/>
      </c>
      <c r="L164" s="26" t="str">
        <f aca="false">IF(AND($B164="",$C164=""),"",IF($B164="","승자 선택!",IF($C164="","점수 입력!",IF(COUNTIF($D$4:$G$4,$B164)=0,"승자 이름?",IF(COUNTIF(D164:G164,"쉼")&lt;&gt;1,"쉼 1명 표시!",IF(INDEX(D164:G164,MATCH($B164,$D$4:$G$4,0))="쉼","승자가 쉼?","✓"))))))</f>
        <v/>
      </c>
      <c r="M164" s="27"/>
      <c r="N164" s="21" t="n">
        <f aca="false">IF(D164="쉼",0,IF(D164="",1,IFERROR(VALUE(LEFT(D164,1)),1)))</f>
        <v>1</v>
      </c>
      <c r="O164" s="21" t="n">
        <f aca="false">IF(E164="쉼",0,IF(E164="",1,IFERROR(VALUE(LEFT(E164,1)),1)))</f>
        <v>1</v>
      </c>
      <c r="P164" s="21" t="n">
        <f aca="false">IF(F164="쉼",0,IF(F164="",1,IFERROR(VALUE(LEFT(F164,1)),1)))</f>
        <v>1</v>
      </c>
      <c r="Q164" s="21" t="n">
        <f aca="false">IF(G164="쉼",0,IF(G164="",1,IFERROR(VALUE(LEFT(G164,1)),1)))</f>
        <v>1</v>
      </c>
    </row>
    <row r="165" customFormat="false" ht="15" hidden="false" customHeight="false" outlineLevel="0" collapsed="false">
      <c r="A165" s="22" t="n">
        <v>161</v>
      </c>
      <c r="B165" s="23"/>
      <c r="C165" s="23"/>
      <c r="D165" s="24"/>
      <c r="E165" s="24"/>
      <c r="F165" s="24"/>
      <c r="G165" s="24"/>
      <c r="H165" s="25" t="str">
        <f aca="false">IF(OR($B165="",$C165="",COUNTIF($D$4:$G$4,$B165)=0),"",IF($B165=H$4,$C165*정산!$C$4*(SUM($N165:$Q165)-N165),-$C165*정산!$C$4*N165))</f>
        <v/>
      </c>
      <c r="I165" s="25" t="str">
        <f aca="false">IF(OR($B165="",$C165="",COUNTIF($D$4:$G$4,$B165)=0),"",IF($B165=I$4,$C165*정산!$C$4*(SUM($N165:$Q165)-O165),-$C165*정산!$C$4*O165))</f>
        <v/>
      </c>
      <c r="J165" s="25" t="str">
        <f aca="false">IF(OR($B165="",$C165="",COUNTIF($D$4:$G$4,$B165)=0),"",IF($B165=J$4,$C165*정산!$C$4*(SUM($N165:$Q165)-P165),-$C165*정산!$C$4*P165))</f>
        <v/>
      </c>
      <c r="K165" s="25" t="str">
        <f aca="false">IF(OR($B165="",$C165="",COUNTIF($D$4:$G$4,$B165)=0),"",IF($B165=K$4,$C165*정산!$C$4*(SUM($N165:$Q165)-Q165),-$C165*정산!$C$4*Q165))</f>
        <v/>
      </c>
      <c r="L165" s="26" t="str">
        <f aca="false">IF(AND($B165="",$C165=""),"",IF($B165="","승자 선택!",IF($C165="","점수 입력!",IF(COUNTIF($D$4:$G$4,$B165)=0,"승자 이름?",IF(COUNTIF(D165:G165,"쉼")&lt;&gt;1,"쉼 1명 표시!",IF(INDEX(D165:G165,MATCH($B165,$D$4:$G$4,0))="쉼","승자가 쉼?","✓"))))))</f>
        <v/>
      </c>
      <c r="M165" s="27"/>
      <c r="N165" s="21" t="n">
        <f aca="false">IF(D165="쉼",0,IF(D165="",1,IFERROR(VALUE(LEFT(D165,1)),1)))</f>
        <v>1</v>
      </c>
      <c r="O165" s="21" t="n">
        <f aca="false">IF(E165="쉼",0,IF(E165="",1,IFERROR(VALUE(LEFT(E165,1)),1)))</f>
        <v>1</v>
      </c>
      <c r="P165" s="21" t="n">
        <f aca="false">IF(F165="쉼",0,IF(F165="",1,IFERROR(VALUE(LEFT(F165,1)),1)))</f>
        <v>1</v>
      </c>
      <c r="Q165" s="21" t="n">
        <f aca="false">IF(G165="쉼",0,IF(G165="",1,IFERROR(VALUE(LEFT(G165,1)),1)))</f>
        <v>1</v>
      </c>
    </row>
    <row r="166" customFormat="false" ht="15" hidden="false" customHeight="false" outlineLevel="0" collapsed="false">
      <c r="A166" s="22" t="n">
        <v>162</v>
      </c>
      <c r="B166" s="23"/>
      <c r="C166" s="23"/>
      <c r="D166" s="24"/>
      <c r="E166" s="24"/>
      <c r="F166" s="24"/>
      <c r="G166" s="24"/>
      <c r="H166" s="25" t="str">
        <f aca="false">IF(OR($B166="",$C166="",COUNTIF($D$4:$G$4,$B166)=0),"",IF($B166=H$4,$C166*정산!$C$4*(SUM($N166:$Q166)-N166),-$C166*정산!$C$4*N166))</f>
        <v/>
      </c>
      <c r="I166" s="25" t="str">
        <f aca="false">IF(OR($B166="",$C166="",COUNTIF($D$4:$G$4,$B166)=0),"",IF($B166=I$4,$C166*정산!$C$4*(SUM($N166:$Q166)-O166),-$C166*정산!$C$4*O166))</f>
        <v/>
      </c>
      <c r="J166" s="25" t="str">
        <f aca="false">IF(OR($B166="",$C166="",COUNTIF($D$4:$G$4,$B166)=0),"",IF($B166=J$4,$C166*정산!$C$4*(SUM($N166:$Q166)-P166),-$C166*정산!$C$4*P166))</f>
        <v/>
      </c>
      <c r="K166" s="25" t="str">
        <f aca="false">IF(OR($B166="",$C166="",COUNTIF($D$4:$G$4,$B166)=0),"",IF($B166=K$4,$C166*정산!$C$4*(SUM($N166:$Q166)-Q166),-$C166*정산!$C$4*Q166))</f>
        <v/>
      </c>
      <c r="L166" s="26" t="str">
        <f aca="false">IF(AND($B166="",$C166=""),"",IF($B166="","승자 선택!",IF($C166="","점수 입력!",IF(COUNTIF($D$4:$G$4,$B166)=0,"승자 이름?",IF(COUNTIF(D166:G166,"쉼")&lt;&gt;1,"쉼 1명 표시!",IF(INDEX(D166:G166,MATCH($B166,$D$4:$G$4,0))="쉼","승자가 쉼?","✓"))))))</f>
        <v/>
      </c>
      <c r="M166" s="27"/>
      <c r="N166" s="21" t="n">
        <f aca="false">IF(D166="쉼",0,IF(D166="",1,IFERROR(VALUE(LEFT(D166,1)),1)))</f>
        <v>1</v>
      </c>
      <c r="O166" s="21" t="n">
        <f aca="false">IF(E166="쉼",0,IF(E166="",1,IFERROR(VALUE(LEFT(E166,1)),1)))</f>
        <v>1</v>
      </c>
      <c r="P166" s="21" t="n">
        <f aca="false">IF(F166="쉼",0,IF(F166="",1,IFERROR(VALUE(LEFT(F166,1)),1)))</f>
        <v>1</v>
      </c>
      <c r="Q166" s="21" t="n">
        <f aca="false">IF(G166="쉼",0,IF(G166="",1,IFERROR(VALUE(LEFT(G166,1)),1)))</f>
        <v>1</v>
      </c>
    </row>
    <row r="167" customFormat="false" ht="15" hidden="false" customHeight="false" outlineLevel="0" collapsed="false">
      <c r="A167" s="22" t="n">
        <v>163</v>
      </c>
      <c r="B167" s="23"/>
      <c r="C167" s="23"/>
      <c r="D167" s="24"/>
      <c r="E167" s="24"/>
      <c r="F167" s="24"/>
      <c r="G167" s="24"/>
      <c r="H167" s="25" t="str">
        <f aca="false">IF(OR($B167="",$C167="",COUNTIF($D$4:$G$4,$B167)=0),"",IF($B167=H$4,$C167*정산!$C$4*(SUM($N167:$Q167)-N167),-$C167*정산!$C$4*N167))</f>
        <v/>
      </c>
      <c r="I167" s="25" t="str">
        <f aca="false">IF(OR($B167="",$C167="",COUNTIF($D$4:$G$4,$B167)=0),"",IF($B167=I$4,$C167*정산!$C$4*(SUM($N167:$Q167)-O167),-$C167*정산!$C$4*O167))</f>
        <v/>
      </c>
      <c r="J167" s="25" t="str">
        <f aca="false">IF(OR($B167="",$C167="",COUNTIF($D$4:$G$4,$B167)=0),"",IF($B167=J$4,$C167*정산!$C$4*(SUM($N167:$Q167)-P167),-$C167*정산!$C$4*P167))</f>
        <v/>
      </c>
      <c r="K167" s="25" t="str">
        <f aca="false">IF(OR($B167="",$C167="",COUNTIF($D$4:$G$4,$B167)=0),"",IF($B167=K$4,$C167*정산!$C$4*(SUM($N167:$Q167)-Q167),-$C167*정산!$C$4*Q167))</f>
        <v/>
      </c>
      <c r="L167" s="26" t="str">
        <f aca="false">IF(AND($B167="",$C167=""),"",IF($B167="","승자 선택!",IF($C167="","점수 입력!",IF(COUNTIF($D$4:$G$4,$B167)=0,"승자 이름?",IF(COUNTIF(D167:G167,"쉼")&lt;&gt;1,"쉼 1명 표시!",IF(INDEX(D167:G167,MATCH($B167,$D$4:$G$4,0))="쉼","승자가 쉼?","✓"))))))</f>
        <v/>
      </c>
      <c r="M167" s="27"/>
      <c r="N167" s="21" t="n">
        <f aca="false">IF(D167="쉼",0,IF(D167="",1,IFERROR(VALUE(LEFT(D167,1)),1)))</f>
        <v>1</v>
      </c>
      <c r="O167" s="21" t="n">
        <f aca="false">IF(E167="쉼",0,IF(E167="",1,IFERROR(VALUE(LEFT(E167,1)),1)))</f>
        <v>1</v>
      </c>
      <c r="P167" s="21" t="n">
        <f aca="false">IF(F167="쉼",0,IF(F167="",1,IFERROR(VALUE(LEFT(F167,1)),1)))</f>
        <v>1</v>
      </c>
      <c r="Q167" s="21" t="n">
        <f aca="false">IF(G167="쉼",0,IF(G167="",1,IFERROR(VALUE(LEFT(G167,1)),1)))</f>
        <v>1</v>
      </c>
    </row>
    <row r="168" customFormat="false" ht="15" hidden="false" customHeight="false" outlineLevel="0" collapsed="false">
      <c r="A168" s="22" t="n">
        <v>164</v>
      </c>
      <c r="B168" s="23"/>
      <c r="C168" s="23"/>
      <c r="D168" s="24"/>
      <c r="E168" s="24"/>
      <c r="F168" s="24"/>
      <c r="G168" s="24"/>
      <c r="H168" s="25" t="str">
        <f aca="false">IF(OR($B168="",$C168="",COUNTIF($D$4:$G$4,$B168)=0),"",IF($B168=H$4,$C168*정산!$C$4*(SUM($N168:$Q168)-N168),-$C168*정산!$C$4*N168))</f>
        <v/>
      </c>
      <c r="I168" s="25" t="str">
        <f aca="false">IF(OR($B168="",$C168="",COUNTIF($D$4:$G$4,$B168)=0),"",IF($B168=I$4,$C168*정산!$C$4*(SUM($N168:$Q168)-O168),-$C168*정산!$C$4*O168))</f>
        <v/>
      </c>
      <c r="J168" s="25" t="str">
        <f aca="false">IF(OR($B168="",$C168="",COUNTIF($D$4:$G$4,$B168)=0),"",IF($B168=J$4,$C168*정산!$C$4*(SUM($N168:$Q168)-P168),-$C168*정산!$C$4*P168))</f>
        <v/>
      </c>
      <c r="K168" s="25" t="str">
        <f aca="false">IF(OR($B168="",$C168="",COUNTIF($D$4:$G$4,$B168)=0),"",IF($B168=K$4,$C168*정산!$C$4*(SUM($N168:$Q168)-Q168),-$C168*정산!$C$4*Q168))</f>
        <v/>
      </c>
      <c r="L168" s="26" t="str">
        <f aca="false">IF(AND($B168="",$C168=""),"",IF($B168="","승자 선택!",IF($C168="","점수 입력!",IF(COUNTIF($D$4:$G$4,$B168)=0,"승자 이름?",IF(COUNTIF(D168:G168,"쉼")&lt;&gt;1,"쉼 1명 표시!",IF(INDEX(D168:G168,MATCH($B168,$D$4:$G$4,0))="쉼","승자가 쉼?","✓"))))))</f>
        <v/>
      </c>
      <c r="M168" s="27"/>
      <c r="N168" s="21" t="n">
        <f aca="false">IF(D168="쉼",0,IF(D168="",1,IFERROR(VALUE(LEFT(D168,1)),1)))</f>
        <v>1</v>
      </c>
      <c r="O168" s="21" t="n">
        <f aca="false">IF(E168="쉼",0,IF(E168="",1,IFERROR(VALUE(LEFT(E168,1)),1)))</f>
        <v>1</v>
      </c>
      <c r="P168" s="21" t="n">
        <f aca="false">IF(F168="쉼",0,IF(F168="",1,IFERROR(VALUE(LEFT(F168,1)),1)))</f>
        <v>1</v>
      </c>
      <c r="Q168" s="21" t="n">
        <f aca="false">IF(G168="쉼",0,IF(G168="",1,IFERROR(VALUE(LEFT(G168,1)),1)))</f>
        <v>1</v>
      </c>
    </row>
    <row r="169" customFormat="false" ht="15" hidden="false" customHeight="false" outlineLevel="0" collapsed="false">
      <c r="A169" s="22" t="n">
        <v>165</v>
      </c>
      <c r="B169" s="23"/>
      <c r="C169" s="23"/>
      <c r="D169" s="24"/>
      <c r="E169" s="24"/>
      <c r="F169" s="24"/>
      <c r="G169" s="24"/>
      <c r="H169" s="25" t="str">
        <f aca="false">IF(OR($B169="",$C169="",COUNTIF($D$4:$G$4,$B169)=0),"",IF($B169=H$4,$C169*정산!$C$4*(SUM($N169:$Q169)-N169),-$C169*정산!$C$4*N169))</f>
        <v/>
      </c>
      <c r="I169" s="25" t="str">
        <f aca="false">IF(OR($B169="",$C169="",COUNTIF($D$4:$G$4,$B169)=0),"",IF($B169=I$4,$C169*정산!$C$4*(SUM($N169:$Q169)-O169),-$C169*정산!$C$4*O169))</f>
        <v/>
      </c>
      <c r="J169" s="25" t="str">
        <f aca="false">IF(OR($B169="",$C169="",COUNTIF($D$4:$G$4,$B169)=0),"",IF($B169=J$4,$C169*정산!$C$4*(SUM($N169:$Q169)-P169),-$C169*정산!$C$4*P169))</f>
        <v/>
      </c>
      <c r="K169" s="25" t="str">
        <f aca="false">IF(OR($B169="",$C169="",COUNTIF($D$4:$G$4,$B169)=0),"",IF($B169=K$4,$C169*정산!$C$4*(SUM($N169:$Q169)-Q169),-$C169*정산!$C$4*Q169))</f>
        <v/>
      </c>
      <c r="L169" s="26" t="str">
        <f aca="false">IF(AND($B169="",$C169=""),"",IF($B169="","승자 선택!",IF($C169="","점수 입력!",IF(COUNTIF($D$4:$G$4,$B169)=0,"승자 이름?",IF(COUNTIF(D169:G169,"쉼")&lt;&gt;1,"쉼 1명 표시!",IF(INDEX(D169:G169,MATCH($B169,$D$4:$G$4,0))="쉼","승자가 쉼?","✓"))))))</f>
        <v/>
      </c>
      <c r="M169" s="27"/>
      <c r="N169" s="21" t="n">
        <f aca="false">IF(D169="쉼",0,IF(D169="",1,IFERROR(VALUE(LEFT(D169,1)),1)))</f>
        <v>1</v>
      </c>
      <c r="O169" s="21" t="n">
        <f aca="false">IF(E169="쉼",0,IF(E169="",1,IFERROR(VALUE(LEFT(E169,1)),1)))</f>
        <v>1</v>
      </c>
      <c r="P169" s="21" t="n">
        <f aca="false">IF(F169="쉼",0,IF(F169="",1,IFERROR(VALUE(LEFT(F169,1)),1)))</f>
        <v>1</v>
      </c>
      <c r="Q169" s="21" t="n">
        <f aca="false">IF(G169="쉼",0,IF(G169="",1,IFERROR(VALUE(LEFT(G169,1)),1)))</f>
        <v>1</v>
      </c>
    </row>
    <row r="170" customFormat="false" ht="15" hidden="false" customHeight="false" outlineLevel="0" collapsed="false">
      <c r="A170" s="22" t="n">
        <v>166</v>
      </c>
      <c r="B170" s="23"/>
      <c r="C170" s="23"/>
      <c r="D170" s="24"/>
      <c r="E170" s="24"/>
      <c r="F170" s="24"/>
      <c r="G170" s="24"/>
      <c r="H170" s="25" t="str">
        <f aca="false">IF(OR($B170="",$C170="",COUNTIF($D$4:$G$4,$B170)=0),"",IF($B170=H$4,$C170*정산!$C$4*(SUM($N170:$Q170)-N170),-$C170*정산!$C$4*N170))</f>
        <v/>
      </c>
      <c r="I170" s="25" t="str">
        <f aca="false">IF(OR($B170="",$C170="",COUNTIF($D$4:$G$4,$B170)=0),"",IF($B170=I$4,$C170*정산!$C$4*(SUM($N170:$Q170)-O170),-$C170*정산!$C$4*O170))</f>
        <v/>
      </c>
      <c r="J170" s="25" t="str">
        <f aca="false">IF(OR($B170="",$C170="",COUNTIF($D$4:$G$4,$B170)=0),"",IF($B170=J$4,$C170*정산!$C$4*(SUM($N170:$Q170)-P170),-$C170*정산!$C$4*P170))</f>
        <v/>
      </c>
      <c r="K170" s="25" t="str">
        <f aca="false">IF(OR($B170="",$C170="",COUNTIF($D$4:$G$4,$B170)=0),"",IF($B170=K$4,$C170*정산!$C$4*(SUM($N170:$Q170)-Q170),-$C170*정산!$C$4*Q170))</f>
        <v/>
      </c>
      <c r="L170" s="26" t="str">
        <f aca="false">IF(AND($B170="",$C170=""),"",IF($B170="","승자 선택!",IF($C170="","점수 입력!",IF(COUNTIF($D$4:$G$4,$B170)=0,"승자 이름?",IF(COUNTIF(D170:G170,"쉼")&lt;&gt;1,"쉼 1명 표시!",IF(INDEX(D170:G170,MATCH($B170,$D$4:$G$4,0))="쉼","승자가 쉼?","✓"))))))</f>
        <v/>
      </c>
      <c r="M170" s="27"/>
      <c r="N170" s="21" t="n">
        <f aca="false">IF(D170="쉼",0,IF(D170="",1,IFERROR(VALUE(LEFT(D170,1)),1)))</f>
        <v>1</v>
      </c>
      <c r="O170" s="21" t="n">
        <f aca="false">IF(E170="쉼",0,IF(E170="",1,IFERROR(VALUE(LEFT(E170,1)),1)))</f>
        <v>1</v>
      </c>
      <c r="P170" s="21" t="n">
        <f aca="false">IF(F170="쉼",0,IF(F170="",1,IFERROR(VALUE(LEFT(F170,1)),1)))</f>
        <v>1</v>
      </c>
      <c r="Q170" s="21" t="n">
        <f aca="false">IF(G170="쉼",0,IF(G170="",1,IFERROR(VALUE(LEFT(G170,1)),1)))</f>
        <v>1</v>
      </c>
    </row>
    <row r="171" customFormat="false" ht="15" hidden="false" customHeight="false" outlineLevel="0" collapsed="false">
      <c r="A171" s="22" t="n">
        <v>167</v>
      </c>
      <c r="B171" s="23"/>
      <c r="C171" s="23"/>
      <c r="D171" s="24"/>
      <c r="E171" s="24"/>
      <c r="F171" s="24"/>
      <c r="G171" s="24"/>
      <c r="H171" s="25" t="str">
        <f aca="false">IF(OR($B171="",$C171="",COUNTIF($D$4:$G$4,$B171)=0),"",IF($B171=H$4,$C171*정산!$C$4*(SUM($N171:$Q171)-N171),-$C171*정산!$C$4*N171))</f>
        <v/>
      </c>
      <c r="I171" s="25" t="str">
        <f aca="false">IF(OR($B171="",$C171="",COUNTIF($D$4:$G$4,$B171)=0),"",IF($B171=I$4,$C171*정산!$C$4*(SUM($N171:$Q171)-O171),-$C171*정산!$C$4*O171))</f>
        <v/>
      </c>
      <c r="J171" s="25" t="str">
        <f aca="false">IF(OR($B171="",$C171="",COUNTIF($D$4:$G$4,$B171)=0),"",IF($B171=J$4,$C171*정산!$C$4*(SUM($N171:$Q171)-P171),-$C171*정산!$C$4*P171))</f>
        <v/>
      </c>
      <c r="K171" s="25" t="str">
        <f aca="false">IF(OR($B171="",$C171="",COUNTIF($D$4:$G$4,$B171)=0),"",IF($B171=K$4,$C171*정산!$C$4*(SUM($N171:$Q171)-Q171),-$C171*정산!$C$4*Q171))</f>
        <v/>
      </c>
      <c r="L171" s="26" t="str">
        <f aca="false">IF(AND($B171="",$C171=""),"",IF($B171="","승자 선택!",IF($C171="","점수 입력!",IF(COUNTIF($D$4:$G$4,$B171)=0,"승자 이름?",IF(COUNTIF(D171:G171,"쉼")&lt;&gt;1,"쉼 1명 표시!",IF(INDEX(D171:G171,MATCH($B171,$D$4:$G$4,0))="쉼","승자가 쉼?","✓"))))))</f>
        <v/>
      </c>
      <c r="M171" s="27"/>
      <c r="N171" s="21" t="n">
        <f aca="false">IF(D171="쉼",0,IF(D171="",1,IFERROR(VALUE(LEFT(D171,1)),1)))</f>
        <v>1</v>
      </c>
      <c r="O171" s="21" t="n">
        <f aca="false">IF(E171="쉼",0,IF(E171="",1,IFERROR(VALUE(LEFT(E171,1)),1)))</f>
        <v>1</v>
      </c>
      <c r="P171" s="21" t="n">
        <f aca="false">IF(F171="쉼",0,IF(F171="",1,IFERROR(VALUE(LEFT(F171,1)),1)))</f>
        <v>1</v>
      </c>
      <c r="Q171" s="21" t="n">
        <f aca="false">IF(G171="쉼",0,IF(G171="",1,IFERROR(VALUE(LEFT(G171,1)),1)))</f>
        <v>1</v>
      </c>
    </row>
    <row r="172" customFormat="false" ht="15" hidden="false" customHeight="false" outlineLevel="0" collapsed="false">
      <c r="A172" s="22" t="n">
        <v>168</v>
      </c>
      <c r="B172" s="23"/>
      <c r="C172" s="23"/>
      <c r="D172" s="24"/>
      <c r="E172" s="24"/>
      <c r="F172" s="24"/>
      <c r="G172" s="24"/>
      <c r="H172" s="25" t="str">
        <f aca="false">IF(OR($B172="",$C172="",COUNTIF($D$4:$G$4,$B172)=0),"",IF($B172=H$4,$C172*정산!$C$4*(SUM($N172:$Q172)-N172),-$C172*정산!$C$4*N172))</f>
        <v/>
      </c>
      <c r="I172" s="25" t="str">
        <f aca="false">IF(OR($B172="",$C172="",COUNTIF($D$4:$G$4,$B172)=0),"",IF($B172=I$4,$C172*정산!$C$4*(SUM($N172:$Q172)-O172),-$C172*정산!$C$4*O172))</f>
        <v/>
      </c>
      <c r="J172" s="25" t="str">
        <f aca="false">IF(OR($B172="",$C172="",COUNTIF($D$4:$G$4,$B172)=0),"",IF($B172=J$4,$C172*정산!$C$4*(SUM($N172:$Q172)-P172),-$C172*정산!$C$4*P172))</f>
        <v/>
      </c>
      <c r="K172" s="25" t="str">
        <f aca="false">IF(OR($B172="",$C172="",COUNTIF($D$4:$G$4,$B172)=0),"",IF($B172=K$4,$C172*정산!$C$4*(SUM($N172:$Q172)-Q172),-$C172*정산!$C$4*Q172))</f>
        <v/>
      </c>
      <c r="L172" s="26" t="str">
        <f aca="false">IF(AND($B172="",$C172=""),"",IF($B172="","승자 선택!",IF($C172="","점수 입력!",IF(COUNTIF($D$4:$G$4,$B172)=0,"승자 이름?",IF(COUNTIF(D172:G172,"쉼")&lt;&gt;1,"쉼 1명 표시!",IF(INDEX(D172:G172,MATCH($B172,$D$4:$G$4,0))="쉼","승자가 쉼?","✓"))))))</f>
        <v/>
      </c>
      <c r="M172" s="27"/>
      <c r="N172" s="21" t="n">
        <f aca="false">IF(D172="쉼",0,IF(D172="",1,IFERROR(VALUE(LEFT(D172,1)),1)))</f>
        <v>1</v>
      </c>
      <c r="O172" s="21" t="n">
        <f aca="false">IF(E172="쉼",0,IF(E172="",1,IFERROR(VALUE(LEFT(E172,1)),1)))</f>
        <v>1</v>
      </c>
      <c r="P172" s="21" t="n">
        <f aca="false">IF(F172="쉼",0,IF(F172="",1,IFERROR(VALUE(LEFT(F172,1)),1)))</f>
        <v>1</v>
      </c>
      <c r="Q172" s="21" t="n">
        <f aca="false">IF(G172="쉼",0,IF(G172="",1,IFERROR(VALUE(LEFT(G172,1)),1)))</f>
        <v>1</v>
      </c>
    </row>
    <row r="173" customFormat="false" ht="15" hidden="false" customHeight="false" outlineLevel="0" collapsed="false">
      <c r="A173" s="22" t="n">
        <v>169</v>
      </c>
      <c r="B173" s="23"/>
      <c r="C173" s="23"/>
      <c r="D173" s="24"/>
      <c r="E173" s="24"/>
      <c r="F173" s="24"/>
      <c r="G173" s="24"/>
      <c r="H173" s="25" t="str">
        <f aca="false">IF(OR($B173="",$C173="",COUNTIF($D$4:$G$4,$B173)=0),"",IF($B173=H$4,$C173*정산!$C$4*(SUM($N173:$Q173)-N173),-$C173*정산!$C$4*N173))</f>
        <v/>
      </c>
      <c r="I173" s="25" t="str">
        <f aca="false">IF(OR($B173="",$C173="",COUNTIF($D$4:$G$4,$B173)=0),"",IF($B173=I$4,$C173*정산!$C$4*(SUM($N173:$Q173)-O173),-$C173*정산!$C$4*O173))</f>
        <v/>
      </c>
      <c r="J173" s="25" t="str">
        <f aca="false">IF(OR($B173="",$C173="",COUNTIF($D$4:$G$4,$B173)=0),"",IF($B173=J$4,$C173*정산!$C$4*(SUM($N173:$Q173)-P173),-$C173*정산!$C$4*P173))</f>
        <v/>
      </c>
      <c r="K173" s="25" t="str">
        <f aca="false">IF(OR($B173="",$C173="",COUNTIF($D$4:$G$4,$B173)=0),"",IF($B173=K$4,$C173*정산!$C$4*(SUM($N173:$Q173)-Q173),-$C173*정산!$C$4*Q173))</f>
        <v/>
      </c>
      <c r="L173" s="26" t="str">
        <f aca="false">IF(AND($B173="",$C173=""),"",IF($B173="","승자 선택!",IF($C173="","점수 입력!",IF(COUNTIF($D$4:$G$4,$B173)=0,"승자 이름?",IF(COUNTIF(D173:G173,"쉼")&lt;&gt;1,"쉼 1명 표시!",IF(INDEX(D173:G173,MATCH($B173,$D$4:$G$4,0))="쉼","승자가 쉼?","✓"))))))</f>
        <v/>
      </c>
      <c r="M173" s="27"/>
      <c r="N173" s="21" t="n">
        <f aca="false">IF(D173="쉼",0,IF(D173="",1,IFERROR(VALUE(LEFT(D173,1)),1)))</f>
        <v>1</v>
      </c>
      <c r="O173" s="21" t="n">
        <f aca="false">IF(E173="쉼",0,IF(E173="",1,IFERROR(VALUE(LEFT(E173,1)),1)))</f>
        <v>1</v>
      </c>
      <c r="P173" s="21" t="n">
        <f aca="false">IF(F173="쉼",0,IF(F173="",1,IFERROR(VALUE(LEFT(F173,1)),1)))</f>
        <v>1</v>
      </c>
      <c r="Q173" s="21" t="n">
        <f aca="false">IF(G173="쉼",0,IF(G173="",1,IFERROR(VALUE(LEFT(G173,1)),1)))</f>
        <v>1</v>
      </c>
    </row>
    <row r="174" customFormat="false" ht="15" hidden="false" customHeight="false" outlineLevel="0" collapsed="false">
      <c r="A174" s="22" t="n">
        <v>170</v>
      </c>
      <c r="B174" s="23"/>
      <c r="C174" s="23"/>
      <c r="D174" s="24"/>
      <c r="E174" s="24"/>
      <c r="F174" s="24"/>
      <c r="G174" s="24"/>
      <c r="H174" s="25" t="str">
        <f aca="false">IF(OR($B174="",$C174="",COUNTIF($D$4:$G$4,$B174)=0),"",IF($B174=H$4,$C174*정산!$C$4*(SUM($N174:$Q174)-N174),-$C174*정산!$C$4*N174))</f>
        <v/>
      </c>
      <c r="I174" s="25" t="str">
        <f aca="false">IF(OR($B174="",$C174="",COUNTIF($D$4:$G$4,$B174)=0),"",IF($B174=I$4,$C174*정산!$C$4*(SUM($N174:$Q174)-O174),-$C174*정산!$C$4*O174))</f>
        <v/>
      </c>
      <c r="J174" s="25" t="str">
        <f aca="false">IF(OR($B174="",$C174="",COUNTIF($D$4:$G$4,$B174)=0),"",IF($B174=J$4,$C174*정산!$C$4*(SUM($N174:$Q174)-P174),-$C174*정산!$C$4*P174))</f>
        <v/>
      </c>
      <c r="K174" s="25" t="str">
        <f aca="false">IF(OR($B174="",$C174="",COUNTIF($D$4:$G$4,$B174)=0),"",IF($B174=K$4,$C174*정산!$C$4*(SUM($N174:$Q174)-Q174),-$C174*정산!$C$4*Q174))</f>
        <v/>
      </c>
      <c r="L174" s="26" t="str">
        <f aca="false">IF(AND($B174="",$C174=""),"",IF($B174="","승자 선택!",IF($C174="","점수 입력!",IF(COUNTIF($D$4:$G$4,$B174)=0,"승자 이름?",IF(COUNTIF(D174:G174,"쉼")&lt;&gt;1,"쉼 1명 표시!",IF(INDEX(D174:G174,MATCH($B174,$D$4:$G$4,0))="쉼","승자가 쉼?","✓"))))))</f>
        <v/>
      </c>
      <c r="M174" s="27"/>
      <c r="N174" s="21" t="n">
        <f aca="false">IF(D174="쉼",0,IF(D174="",1,IFERROR(VALUE(LEFT(D174,1)),1)))</f>
        <v>1</v>
      </c>
      <c r="O174" s="21" t="n">
        <f aca="false">IF(E174="쉼",0,IF(E174="",1,IFERROR(VALUE(LEFT(E174,1)),1)))</f>
        <v>1</v>
      </c>
      <c r="P174" s="21" t="n">
        <f aca="false">IF(F174="쉼",0,IF(F174="",1,IFERROR(VALUE(LEFT(F174,1)),1)))</f>
        <v>1</v>
      </c>
      <c r="Q174" s="21" t="n">
        <f aca="false">IF(G174="쉼",0,IF(G174="",1,IFERROR(VALUE(LEFT(G174,1)),1)))</f>
        <v>1</v>
      </c>
    </row>
    <row r="175" customFormat="false" ht="15" hidden="false" customHeight="false" outlineLevel="0" collapsed="false">
      <c r="A175" s="22" t="n">
        <v>171</v>
      </c>
      <c r="B175" s="23"/>
      <c r="C175" s="23"/>
      <c r="D175" s="24"/>
      <c r="E175" s="24"/>
      <c r="F175" s="24"/>
      <c r="G175" s="24"/>
      <c r="H175" s="25" t="str">
        <f aca="false">IF(OR($B175="",$C175="",COUNTIF($D$4:$G$4,$B175)=0),"",IF($B175=H$4,$C175*정산!$C$4*(SUM($N175:$Q175)-N175),-$C175*정산!$C$4*N175))</f>
        <v/>
      </c>
      <c r="I175" s="25" t="str">
        <f aca="false">IF(OR($B175="",$C175="",COUNTIF($D$4:$G$4,$B175)=0),"",IF($B175=I$4,$C175*정산!$C$4*(SUM($N175:$Q175)-O175),-$C175*정산!$C$4*O175))</f>
        <v/>
      </c>
      <c r="J175" s="25" t="str">
        <f aca="false">IF(OR($B175="",$C175="",COUNTIF($D$4:$G$4,$B175)=0),"",IF($B175=J$4,$C175*정산!$C$4*(SUM($N175:$Q175)-P175),-$C175*정산!$C$4*P175))</f>
        <v/>
      </c>
      <c r="K175" s="25" t="str">
        <f aca="false">IF(OR($B175="",$C175="",COUNTIF($D$4:$G$4,$B175)=0),"",IF($B175=K$4,$C175*정산!$C$4*(SUM($N175:$Q175)-Q175),-$C175*정산!$C$4*Q175))</f>
        <v/>
      </c>
      <c r="L175" s="26" t="str">
        <f aca="false">IF(AND($B175="",$C175=""),"",IF($B175="","승자 선택!",IF($C175="","점수 입력!",IF(COUNTIF($D$4:$G$4,$B175)=0,"승자 이름?",IF(COUNTIF(D175:G175,"쉼")&lt;&gt;1,"쉼 1명 표시!",IF(INDEX(D175:G175,MATCH($B175,$D$4:$G$4,0))="쉼","승자가 쉼?","✓"))))))</f>
        <v/>
      </c>
      <c r="M175" s="27"/>
      <c r="N175" s="21" t="n">
        <f aca="false">IF(D175="쉼",0,IF(D175="",1,IFERROR(VALUE(LEFT(D175,1)),1)))</f>
        <v>1</v>
      </c>
      <c r="O175" s="21" t="n">
        <f aca="false">IF(E175="쉼",0,IF(E175="",1,IFERROR(VALUE(LEFT(E175,1)),1)))</f>
        <v>1</v>
      </c>
      <c r="P175" s="21" t="n">
        <f aca="false">IF(F175="쉼",0,IF(F175="",1,IFERROR(VALUE(LEFT(F175,1)),1)))</f>
        <v>1</v>
      </c>
      <c r="Q175" s="21" t="n">
        <f aca="false">IF(G175="쉼",0,IF(G175="",1,IFERROR(VALUE(LEFT(G175,1)),1)))</f>
        <v>1</v>
      </c>
    </row>
    <row r="176" customFormat="false" ht="15" hidden="false" customHeight="false" outlineLevel="0" collapsed="false">
      <c r="A176" s="22" t="n">
        <v>172</v>
      </c>
      <c r="B176" s="23"/>
      <c r="C176" s="23"/>
      <c r="D176" s="24"/>
      <c r="E176" s="24"/>
      <c r="F176" s="24"/>
      <c r="G176" s="24"/>
      <c r="H176" s="25" t="str">
        <f aca="false">IF(OR($B176="",$C176="",COUNTIF($D$4:$G$4,$B176)=0),"",IF($B176=H$4,$C176*정산!$C$4*(SUM($N176:$Q176)-N176),-$C176*정산!$C$4*N176))</f>
        <v/>
      </c>
      <c r="I176" s="25" t="str">
        <f aca="false">IF(OR($B176="",$C176="",COUNTIF($D$4:$G$4,$B176)=0),"",IF($B176=I$4,$C176*정산!$C$4*(SUM($N176:$Q176)-O176),-$C176*정산!$C$4*O176))</f>
        <v/>
      </c>
      <c r="J176" s="25" t="str">
        <f aca="false">IF(OR($B176="",$C176="",COUNTIF($D$4:$G$4,$B176)=0),"",IF($B176=J$4,$C176*정산!$C$4*(SUM($N176:$Q176)-P176),-$C176*정산!$C$4*P176))</f>
        <v/>
      </c>
      <c r="K176" s="25" t="str">
        <f aca="false">IF(OR($B176="",$C176="",COUNTIF($D$4:$G$4,$B176)=0),"",IF($B176=K$4,$C176*정산!$C$4*(SUM($N176:$Q176)-Q176),-$C176*정산!$C$4*Q176))</f>
        <v/>
      </c>
      <c r="L176" s="26" t="str">
        <f aca="false">IF(AND($B176="",$C176=""),"",IF($B176="","승자 선택!",IF($C176="","점수 입력!",IF(COUNTIF($D$4:$G$4,$B176)=0,"승자 이름?",IF(COUNTIF(D176:G176,"쉼")&lt;&gt;1,"쉼 1명 표시!",IF(INDEX(D176:G176,MATCH($B176,$D$4:$G$4,0))="쉼","승자가 쉼?","✓"))))))</f>
        <v/>
      </c>
      <c r="M176" s="27"/>
      <c r="N176" s="21" t="n">
        <f aca="false">IF(D176="쉼",0,IF(D176="",1,IFERROR(VALUE(LEFT(D176,1)),1)))</f>
        <v>1</v>
      </c>
      <c r="O176" s="21" t="n">
        <f aca="false">IF(E176="쉼",0,IF(E176="",1,IFERROR(VALUE(LEFT(E176,1)),1)))</f>
        <v>1</v>
      </c>
      <c r="P176" s="21" t="n">
        <f aca="false">IF(F176="쉼",0,IF(F176="",1,IFERROR(VALUE(LEFT(F176,1)),1)))</f>
        <v>1</v>
      </c>
      <c r="Q176" s="21" t="n">
        <f aca="false">IF(G176="쉼",0,IF(G176="",1,IFERROR(VALUE(LEFT(G176,1)),1)))</f>
        <v>1</v>
      </c>
    </row>
    <row r="177" customFormat="false" ht="15" hidden="false" customHeight="false" outlineLevel="0" collapsed="false">
      <c r="A177" s="22" t="n">
        <v>173</v>
      </c>
      <c r="B177" s="23"/>
      <c r="C177" s="23"/>
      <c r="D177" s="24"/>
      <c r="E177" s="24"/>
      <c r="F177" s="24"/>
      <c r="G177" s="24"/>
      <c r="H177" s="25" t="str">
        <f aca="false">IF(OR($B177="",$C177="",COUNTIF($D$4:$G$4,$B177)=0),"",IF($B177=H$4,$C177*정산!$C$4*(SUM($N177:$Q177)-N177),-$C177*정산!$C$4*N177))</f>
        <v/>
      </c>
      <c r="I177" s="25" t="str">
        <f aca="false">IF(OR($B177="",$C177="",COUNTIF($D$4:$G$4,$B177)=0),"",IF($B177=I$4,$C177*정산!$C$4*(SUM($N177:$Q177)-O177),-$C177*정산!$C$4*O177))</f>
        <v/>
      </c>
      <c r="J177" s="25" t="str">
        <f aca="false">IF(OR($B177="",$C177="",COUNTIF($D$4:$G$4,$B177)=0),"",IF($B177=J$4,$C177*정산!$C$4*(SUM($N177:$Q177)-P177),-$C177*정산!$C$4*P177))</f>
        <v/>
      </c>
      <c r="K177" s="25" t="str">
        <f aca="false">IF(OR($B177="",$C177="",COUNTIF($D$4:$G$4,$B177)=0),"",IF($B177=K$4,$C177*정산!$C$4*(SUM($N177:$Q177)-Q177),-$C177*정산!$C$4*Q177))</f>
        <v/>
      </c>
      <c r="L177" s="26" t="str">
        <f aca="false">IF(AND($B177="",$C177=""),"",IF($B177="","승자 선택!",IF($C177="","점수 입력!",IF(COUNTIF($D$4:$G$4,$B177)=0,"승자 이름?",IF(COUNTIF(D177:G177,"쉼")&lt;&gt;1,"쉼 1명 표시!",IF(INDEX(D177:G177,MATCH($B177,$D$4:$G$4,0))="쉼","승자가 쉼?","✓"))))))</f>
        <v/>
      </c>
      <c r="M177" s="27"/>
      <c r="N177" s="21" t="n">
        <f aca="false">IF(D177="쉼",0,IF(D177="",1,IFERROR(VALUE(LEFT(D177,1)),1)))</f>
        <v>1</v>
      </c>
      <c r="O177" s="21" t="n">
        <f aca="false">IF(E177="쉼",0,IF(E177="",1,IFERROR(VALUE(LEFT(E177,1)),1)))</f>
        <v>1</v>
      </c>
      <c r="P177" s="21" t="n">
        <f aca="false">IF(F177="쉼",0,IF(F177="",1,IFERROR(VALUE(LEFT(F177,1)),1)))</f>
        <v>1</v>
      </c>
      <c r="Q177" s="21" t="n">
        <f aca="false">IF(G177="쉼",0,IF(G177="",1,IFERROR(VALUE(LEFT(G177,1)),1)))</f>
        <v>1</v>
      </c>
    </row>
    <row r="178" customFormat="false" ht="15" hidden="false" customHeight="false" outlineLevel="0" collapsed="false">
      <c r="A178" s="22" t="n">
        <v>174</v>
      </c>
      <c r="B178" s="23"/>
      <c r="C178" s="23"/>
      <c r="D178" s="24"/>
      <c r="E178" s="24"/>
      <c r="F178" s="24"/>
      <c r="G178" s="24"/>
      <c r="H178" s="25" t="str">
        <f aca="false">IF(OR($B178="",$C178="",COUNTIF($D$4:$G$4,$B178)=0),"",IF($B178=H$4,$C178*정산!$C$4*(SUM($N178:$Q178)-N178),-$C178*정산!$C$4*N178))</f>
        <v/>
      </c>
      <c r="I178" s="25" t="str">
        <f aca="false">IF(OR($B178="",$C178="",COUNTIF($D$4:$G$4,$B178)=0),"",IF($B178=I$4,$C178*정산!$C$4*(SUM($N178:$Q178)-O178),-$C178*정산!$C$4*O178))</f>
        <v/>
      </c>
      <c r="J178" s="25" t="str">
        <f aca="false">IF(OR($B178="",$C178="",COUNTIF($D$4:$G$4,$B178)=0),"",IF($B178=J$4,$C178*정산!$C$4*(SUM($N178:$Q178)-P178),-$C178*정산!$C$4*P178))</f>
        <v/>
      </c>
      <c r="K178" s="25" t="str">
        <f aca="false">IF(OR($B178="",$C178="",COUNTIF($D$4:$G$4,$B178)=0),"",IF($B178=K$4,$C178*정산!$C$4*(SUM($N178:$Q178)-Q178),-$C178*정산!$C$4*Q178))</f>
        <v/>
      </c>
      <c r="L178" s="26" t="str">
        <f aca="false">IF(AND($B178="",$C178=""),"",IF($B178="","승자 선택!",IF($C178="","점수 입력!",IF(COUNTIF($D$4:$G$4,$B178)=0,"승자 이름?",IF(COUNTIF(D178:G178,"쉼")&lt;&gt;1,"쉼 1명 표시!",IF(INDEX(D178:G178,MATCH($B178,$D$4:$G$4,0))="쉼","승자가 쉼?","✓"))))))</f>
        <v/>
      </c>
      <c r="M178" s="27"/>
      <c r="N178" s="21" t="n">
        <f aca="false">IF(D178="쉼",0,IF(D178="",1,IFERROR(VALUE(LEFT(D178,1)),1)))</f>
        <v>1</v>
      </c>
      <c r="O178" s="21" t="n">
        <f aca="false">IF(E178="쉼",0,IF(E178="",1,IFERROR(VALUE(LEFT(E178,1)),1)))</f>
        <v>1</v>
      </c>
      <c r="P178" s="21" t="n">
        <f aca="false">IF(F178="쉼",0,IF(F178="",1,IFERROR(VALUE(LEFT(F178,1)),1)))</f>
        <v>1</v>
      </c>
      <c r="Q178" s="21" t="n">
        <f aca="false">IF(G178="쉼",0,IF(G178="",1,IFERROR(VALUE(LEFT(G178,1)),1)))</f>
        <v>1</v>
      </c>
    </row>
    <row r="179" customFormat="false" ht="15" hidden="false" customHeight="false" outlineLevel="0" collapsed="false">
      <c r="A179" s="22" t="n">
        <v>175</v>
      </c>
      <c r="B179" s="23"/>
      <c r="C179" s="23"/>
      <c r="D179" s="24"/>
      <c r="E179" s="24"/>
      <c r="F179" s="24"/>
      <c r="G179" s="24"/>
      <c r="H179" s="25" t="str">
        <f aca="false">IF(OR($B179="",$C179="",COUNTIF($D$4:$G$4,$B179)=0),"",IF($B179=H$4,$C179*정산!$C$4*(SUM($N179:$Q179)-N179),-$C179*정산!$C$4*N179))</f>
        <v/>
      </c>
      <c r="I179" s="25" t="str">
        <f aca="false">IF(OR($B179="",$C179="",COUNTIF($D$4:$G$4,$B179)=0),"",IF($B179=I$4,$C179*정산!$C$4*(SUM($N179:$Q179)-O179),-$C179*정산!$C$4*O179))</f>
        <v/>
      </c>
      <c r="J179" s="25" t="str">
        <f aca="false">IF(OR($B179="",$C179="",COUNTIF($D$4:$G$4,$B179)=0),"",IF($B179=J$4,$C179*정산!$C$4*(SUM($N179:$Q179)-P179),-$C179*정산!$C$4*P179))</f>
        <v/>
      </c>
      <c r="K179" s="25" t="str">
        <f aca="false">IF(OR($B179="",$C179="",COUNTIF($D$4:$G$4,$B179)=0),"",IF($B179=K$4,$C179*정산!$C$4*(SUM($N179:$Q179)-Q179),-$C179*정산!$C$4*Q179))</f>
        <v/>
      </c>
      <c r="L179" s="26" t="str">
        <f aca="false">IF(AND($B179="",$C179=""),"",IF($B179="","승자 선택!",IF($C179="","점수 입력!",IF(COUNTIF($D$4:$G$4,$B179)=0,"승자 이름?",IF(COUNTIF(D179:G179,"쉼")&lt;&gt;1,"쉼 1명 표시!",IF(INDEX(D179:G179,MATCH($B179,$D$4:$G$4,0))="쉼","승자가 쉼?","✓"))))))</f>
        <v/>
      </c>
      <c r="M179" s="27"/>
      <c r="N179" s="21" t="n">
        <f aca="false">IF(D179="쉼",0,IF(D179="",1,IFERROR(VALUE(LEFT(D179,1)),1)))</f>
        <v>1</v>
      </c>
      <c r="O179" s="21" t="n">
        <f aca="false">IF(E179="쉼",0,IF(E179="",1,IFERROR(VALUE(LEFT(E179,1)),1)))</f>
        <v>1</v>
      </c>
      <c r="P179" s="21" t="n">
        <f aca="false">IF(F179="쉼",0,IF(F179="",1,IFERROR(VALUE(LEFT(F179,1)),1)))</f>
        <v>1</v>
      </c>
      <c r="Q179" s="21" t="n">
        <f aca="false">IF(G179="쉼",0,IF(G179="",1,IFERROR(VALUE(LEFT(G179,1)),1)))</f>
        <v>1</v>
      </c>
    </row>
    <row r="180" customFormat="false" ht="15" hidden="false" customHeight="false" outlineLevel="0" collapsed="false">
      <c r="A180" s="22" t="n">
        <v>176</v>
      </c>
      <c r="B180" s="23"/>
      <c r="C180" s="23"/>
      <c r="D180" s="24"/>
      <c r="E180" s="24"/>
      <c r="F180" s="24"/>
      <c r="G180" s="24"/>
      <c r="H180" s="25" t="str">
        <f aca="false">IF(OR($B180="",$C180="",COUNTIF($D$4:$G$4,$B180)=0),"",IF($B180=H$4,$C180*정산!$C$4*(SUM($N180:$Q180)-N180),-$C180*정산!$C$4*N180))</f>
        <v/>
      </c>
      <c r="I180" s="25" t="str">
        <f aca="false">IF(OR($B180="",$C180="",COUNTIF($D$4:$G$4,$B180)=0),"",IF($B180=I$4,$C180*정산!$C$4*(SUM($N180:$Q180)-O180),-$C180*정산!$C$4*O180))</f>
        <v/>
      </c>
      <c r="J180" s="25" t="str">
        <f aca="false">IF(OR($B180="",$C180="",COUNTIF($D$4:$G$4,$B180)=0),"",IF($B180=J$4,$C180*정산!$C$4*(SUM($N180:$Q180)-P180),-$C180*정산!$C$4*P180))</f>
        <v/>
      </c>
      <c r="K180" s="25" t="str">
        <f aca="false">IF(OR($B180="",$C180="",COUNTIF($D$4:$G$4,$B180)=0),"",IF($B180=K$4,$C180*정산!$C$4*(SUM($N180:$Q180)-Q180),-$C180*정산!$C$4*Q180))</f>
        <v/>
      </c>
      <c r="L180" s="26" t="str">
        <f aca="false">IF(AND($B180="",$C180=""),"",IF($B180="","승자 선택!",IF($C180="","점수 입력!",IF(COUNTIF($D$4:$G$4,$B180)=0,"승자 이름?",IF(COUNTIF(D180:G180,"쉼")&lt;&gt;1,"쉼 1명 표시!",IF(INDEX(D180:G180,MATCH($B180,$D$4:$G$4,0))="쉼","승자가 쉼?","✓"))))))</f>
        <v/>
      </c>
      <c r="M180" s="27"/>
      <c r="N180" s="21" t="n">
        <f aca="false">IF(D180="쉼",0,IF(D180="",1,IFERROR(VALUE(LEFT(D180,1)),1)))</f>
        <v>1</v>
      </c>
      <c r="O180" s="21" t="n">
        <f aca="false">IF(E180="쉼",0,IF(E180="",1,IFERROR(VALUE(LEFT(E180,1)),1)))</f>
        <v>1</v>
      </c>
      <c r="P180" s="21" t="n">
        <f aca="false">IF(F180="쉼",0,IF(F180="",1,IFERROR(VALUE(LEFT(F180,1)),1)))</f>
        <v>1</v>
      </c>
      <c r="Q180" s="21" t="n">
        <f aca="false">IF(G180="쉼",0,IF(G180="",1,IFERROR(VALUE(LEFT(G180,1)),1)))</f>
        <v>1</v>
      </c>
    </row>
    <row r="181" customFormat="false" ht="15" hidden="false" customHeight="false" outlineLevel="0" collapsed="false">
      <c r="A181" s="22" t="n">
        <v>177</v>
      </c>
      <c r="B181" s="23"/>
      <c r="C181" s="23"/>
      <c r="D181" s="24"/>
      <c r="E181" s="24"/>
      <c r="F181" s="24"/>
      <c r="G181" s="24"/>
      <c r="H181" s="25" t="str">
        <f aca="false">IF(OR($B181="",$C181="",COUNTIF($D$4:$G$4,$B181)=0),"",IF($B181=H$4,$C181*정산!$C$4*(SUM($N181:$Q181)-N181),-$C181*정산!$C$4*N181))</f>
        <v/>
      </c>
      <c r="I181" s="25" t="str">
        <f aca="false">IF(OR($B181="",$C181="",COUNTIF($D$4:$G$4,$B181)=0),"",IF($B181=I$4,$C181*정산!$C$4*(SUM($N181:$Q181)-O181),-$C181*정산!$C$4*O181))</f>
        <v/>
      </c>
      <c r="J181" s="25" t="str">
        <f aca="false">IF(OR($B181="",$C181="",COUNTIF($D$4:$G$4,$B181)=0),"",IF($B181=J$4,$C181*정산!$C$4*(SUM($N181:$Q181)-P181),-$C181*정산!$C$4*P181))</f>
        <v/>
      </c>
      <c r="K181" s="25" t="str">
        <f aca="false">IF(OR($B181="",$C181="",COUNTIF($D$4:$G$4,$B181)=0),"",IF($B181=K$4,$C181*정산!$C$4*(SUM($N181:$Q181)-Q181),-$C181*정산!$C$4*Q181))</f>
        <v/>
      </c>
      <c r="L181" s="26" t="str">
        <f aca="false">IF(AND($B181="",$C181=""),"",IF($B181="","승자 선택!",IF($C181="","점수 입력!",IF(COUNTIF($D$4:$G$4,$B181)=0,"승자 이름?",IF(COUNTIF(D181:G181,"쉼")&lt;&gt;1,"쉼 1명 표시!",IF(INDEX(D181:G181,MATCH($B181,$D$4:$G$4,0))="쉼","승자가 쉼?","✓"))))))</f>
        <v/>
      </c>
      <c r="M181" s="27"/>
      <c r="N181" s="21" t="n">
        <f aca="false">IF(D181="쉼",0,IF(D181="",1,IFERROR(VALUE(LEFT(D181,1)),1)))</f>
        <v>1</v>
      </c>
      <c r="O181" s="21" t="n">
        <f aca="false">IF(E181="쉼",0,IF(E181="",1,IFERROR(VALUE(LEFT(E181,1)),1)))</f>
        <v>1</v>
      </c>
      <c r="P181" s="21" t="n">
        <f aca="false">IF(F181="쉼",0,IF(F181="",1,IFERROR(VALUE(LEFT(F181,1)),1)))</f>
        <v>1</v>
      </c>
      <c r="Q181" s="21" t="n">
        <f aca="false">IF(G181="쉼",0,IF(G181="",1,IFERROR(VALUE(LEFT(G181,1)),1)))</f>
        <v>1</v>
      </c>
    </row>
    <row r="182" customFormat="false" ht="15" hidden="false" customHeight="false" outlineLevel="0" collapsed="false">
      <c r="A182" s="22" t="n">
        <v>178</v>
      </c>
      <c r="B182" s="23"/>
      <c r="C182" s="23"/>
      <c r="D182" s="24"/>
      <c r="E182" s="24"/>
      <c r="F182" s="24"/>
      <c r="G182" s="24"/>
      <c r="H182" s="25" t="str">
        <f aca="false">IF(OR($B182="",$C182="",COUNTIF($D$4:$G$4,$B182)=0),"",IF($B182=H$4,$C182*정산!$C$4*(SUM($N182:$Q182)-N182),-$C182*정산!$C$4*N182))</f>
        <v/>
      </c>
      <c r="I182" s="25" t="str">
        <f aca="false">IF(OR($B182="",$C182="",COUNTIF($D$4:$G$4,$B182)=0),"",IF($B182=I$4,$C182*정산!$C$4*(SUM($N182:$Q182)-O182),-$C182*정산!$C$4*O182))</f>
        <v/>
      </c>
      <c r="J182" s="25" t="str">
        <f aca="false">IF(OR($B182="",$C182="",COUNTIF($D$4:$G$4,$B182)=0),"",IF($B182=J$4,$C182*정산!$C$4*(SUM($N182:$Q182)-P182),-$C182*정산!$C$4*P182))</f>
        <v/>
      </c>
      <c r="K182" s="25" t="str">
        <f aca="false">IF(OR($B182="",$C182="",COUNTIF($D$4:$G$4,$B182)=0),"",IF($B182=K$4,$C182*정산!$C$4*(SUM($N182:$Q182)-Q182),-$C182*정산!$C$4*Q182))</f>
        <v/>
      </c>
      <c r="L182" s="26" t="str">
        <f aca="false">IF(AND($B182="",$C182=""),"",IF($B182="","승자 선택!",IF($C182="","점수 입력!",IF(COUNTIF($D$4:$G$4,$B182)=0,"승자 이름?",IF(COUNTIF(D182:G182,"쉼")&lt;&gt;1,"쉼 1명 표시!",IF(INDEX(D182:G182,MATCH($B182,$D$4:$G$4,0))="쉼","승자가 쉼?","✓"))))))</f>
        <v/>
      </c>
      <c r="M182" s="27"/>
      <c r="N182" s="21" t="n">
        <f aca="false">IF(D182="쉼",0,IF(D182="",1,IFERROR(VALUE(LEFT(D182,1)),1)))</f>
        <v>1</v>
      </c>
      <c r="O182" s="21" t="n">
        <f aca="false">IF(E182="쉼",0,IF(E182="",1,IFERROR(VALUE(LEFT(E182,1)),1)))</f>
        <v>1</v>
      </c>
      <c r="P182" s="21" t="n">
        <f aca="false">IF(F182="쉼",0,IF(F182="",1,IFERROR(VALUE(LEFT(F182,1)),1)))</f>
        <v>1</v>
      </c>
      <c r="Q182" s="21" t="n">
        <f aca="false">IF(G182="쉼",0,IF(G182="",1,IFERROR(VALUE(LEFT(G182,1)),1)))</f>
        <v>1</v>
      </c>
    </row>
    <row r="183" customFormat="false" ht="15" hidden="false" customHeight="false" outlineLevel="0" collapsed="false">
      <c r="A183" s="22" t="n">
        <v>179</v>
      </c>
      <c r="B183" s="23"/>
      <c r="C183" s="23"/>
      <c r="D183" s="24"/>
      <c r="E183" s="24"/>
      <c r="F183" s="24"/>
      <c r="G183" s="24"/>
      <c r="H183" s="25" t="str">
        <f aca="false">IF(OR($B183="",$C183="",COUNTIF($D$4:$G$4,$B183)=0),"",IF($B183=H$4,$C183*정산!$C$4*(SUM($N183:$Q183)-N183),-$C183*정산!$C$4*N183))</f>
        <v/>
      </c>
      <c r="I183" s="25" t="str">
        <f aca="false">IF(OR($B183="",$C183="",COUNTIF($D$4:$G$4,$B183)=0),"",IF($B183=I$4,$C183*정산!$C$4*(SUM($N183:$Q183)-O183),-$C183*정산!$C$4*O183))</f>
        <v/>
      </c>
      <c r="J183" s="25" t="str">
        <f aca="false">IF(OR($B183="",$C183="",COUNTIF($D$4:$G$4,$B183)=0),"",IF($B183=J$4,$C183*정산!$C$4*(SUM($N183:$Q183)-P183),-$C183*정산!$C$4*P183))</f>
        <v/>
      </c>
      <c r="K183" s="25" t="str">
        <f aca="false">IF(OR($B183="",$C183="",COUNTIF($D$4:$G$4,$B183)=0),"",IF($B183=K$4,$C183*정산!$C$4*(SUM($N183:$Q183)-Q183),-$C183*정산!$C$4*Q183))</f>
        <v/>
      </c>
      <c r="L183" s="26" t="str">
        <f aca="false">IF(AND($B183="",$C183=""),"",IF($B183="","승자 선택!",IF($C183="","점수 입력!",IF(COUNTIF($D$4:$G$4,$B183)=0,"승자 이름?",IF(COUNTIF(D183:G183,"쉼")&lt;&gt;1,"쉼 1명 표시!",IF(INDEX(D183:G183,MATCH($B183,$D$4:$G$4,0))="쉼","승자가 쉼?","✓"))))))</f>
        <v/>
      </c>
      <c r="M183" s="27"/>
      <c r="N183" s="21" t="n">
        <f aca="false">IF(D183="쉼",0,IF(D183="",1,IFERROR(VALUE(LEFT(D183,1)),1)))</f>
        <v>1</v>
      </c>
      <c r="O183" s="21" t="n">
        <f aca="false">IF(E183="쉼",0,IF(E183="",1,IFERROR(VALUE(LEFT(E183,1)),1)))</f>
        <v>1</v>
      </c>
      <c r="P183" s="21" t="n">
        <f aca="false">IF(F183="쉼",0,IF(F183="",1,IFERROR(VALUE(LEFT(F183,1)),1)))</f>
        <v>1</v>
      </c>
      <c r="Q183" s="21" t="n">
        <f aca="false">IF(G183="쉼",0,IF(G183="",1,IFERROR(VALUE(LEFT(G183,1)),1)))</f>
        <v>1</v>
      </c>
    </row>
    <row r="184" customFormat="false" ht="15" hidden="false" customHeight="false" outlineLevel="0" collapsed="false">
      <c r="A184" s="22" t="n">
        <v>180</v>
      </c>
      <c r="B184" s="23"/>
      <c r="C184" s="23"/>
      <c r="D184" s="24"/>
      <c r="E184" s="24"/>
      <c r="F184" s="24"/>
      <c r="G184" s="24"/>
      <c r="H184" s="25" t="str">
        <f aca="false">IF(OR($B184="",$C184="",COUNTIF($D$4:$G$4,$B184)=0),"",IF($B184=H$4,$C184*정산!$C$4*(SUM($N184:$Q184)-N184),-$C184*정산!$C$4*N184))</f>
        <v/>
      </c>
      <c r="I184" s="25" t="str">
        <f aca="false">IF(OR($B184="",$C184="",COUNTIF($D$4:$G$4,$B184)=0),"",IF($B184=I$4,$C184*정산!$C$4*(SUM($N184:$Q184)-O184),-$C184*정산!$C$4*O184))</f>
        <v/>
      </c>
      <c r="J184" s="25" t="str">
        <f aca="false">IF(OR($B184="",$C184="",COUNTIF($D$4:$G$4,$B184)=0),"",IF($B184=J$4,$C184*정산!$C$4*(SUM($N184:$Q184)-P184),-$C184*정산!$C$4*P184))</f>
        <v/>
      </c>
      <c r="K184" s="25" t="str">
        <f aca="false">IF(OR($B184="",$C184="",COUNTIF($D$4:$G$4,$B184)=0),"",IF($B184=K$4,$C184*정산!$C$4*(SUM($N184:$Q184)-Q184),-$C184*정산!$C$4*Q184))</f>
        <v/>
      </c>
      <c r="L184" s="26" t="str">
        <f aca="false">IF(AND($B184="",$C184=""),"",IF($B184="","승자 선택!",IF($C184="","점수 입력!",IF(COUNTIF($D$4:$G$4,$B184)=0,"승자 이름?",IF(COUNTIF(D184:G184,"쉼")&lt;&gt;1,"쉼 1명 표시!",IF(INDEX(D184:G184,MATCH($B184,$D$4:$G$4,0))="쉼","승자가 쉼?","✓"))))))</f>
        <v/>
      </c>
      <c r="M184" s="27"/>
      <c r="N184" s="21" t="n">
        <f aca="false">IF(D184="쉼",0,IF(D184="",1,IFERROR(VALUE(LEFT(D184,1)),1)))</f>
        <v>1</v>
      </c>
      <c r="O184" s="21" t="n">
        <f aca="false">IF(E184="쉼",0,IF(E184="",1,IFERROR(VALUE(LEFT(E184,1)),1)))</f>
        <v>1</v>
      </c>
      <c r="P184" s="21" t="n">
        <f aca="false">IF(F184="쉼",0,IF(F184="",1,IFERROR(VALUE(LEFT(F184,1)),1)))</f>
        <v>1</v>
      </c>
      <c r="Q184" s="21" t="n">
        <f aca="false">IF(G184="쉼",0,IF(G184="",1,IFERROR(VALUE(LEFT(G184,1)),1)))</f>
        <v>1</v>
      </c>
    </row>
    <row r="185" customFormat="false" ht="15" hidden="false" customHeight="false" outlineLevel="0" collapsed="false">
      <c r="A185" s="22" t="n">
        <v>181</v>
      </c>
      <c r="B185" s="23"/>
      <c r="C185" s="23"/>
      <c r="D185" s="24"/>
      <c r="E185" s="24"/>
      <c r="F185" s="24"/>
      <c r="G185" s="24"/>
      <c r="H185" s="25" t="str">
        <f aca="false">IF(OR($B185="",$C185="",COUNTIF($D$4:$G$4,$B185)=0),"",IF($B185=H$4,$C185*정산!$C$4*(SUM($N185:$Q185)-N185),-$C185*정산!$C$4*N185))</f>
        <v/>
      </c>
      <c r="I185" s="25" t="str">
        <f aca="false">IF(OR($B185="",$C185="",COUNTIF($D$4:$G$4,$B185)=0),"",IF($B185=I$4,$C185*정산!$C$4*(SUM($N185:$Q185)-O185),-$C185*정산!$C$4*O185))</f>
        <v/>
      </c>
      <c r="J185" s="25" t="str">
        <f aca="false">IF(OR($B185="",$C185="",COUNTIF($D$4:$G$4,$B185)=0),"",IF($B185=J$4,$C185*정산!$C$4*(SUM($N185:$Q185)-P185),-$C185*정산!$C$4*P185))</f>
        <v/>
      </c>
      <c r="K185" s="25" t="str">
        <f aca="false">IF(OR($B185="",$C185="",COUNTIF($D$4:$G$4,$B185)=0),"",IF($B185=K$4,$C185*정산!$C$4*(SUM($N185:$Q185)-Q185),-$C185*정산!$C$4*Q185))</f>
        <v/>
      </c>
      <c r="L185" s="26" t="str">
        <f aca="false">IF(AND($B185="",$C185=""),"",IF($B185="","승자 선택!",IF($C185="","점수 입력!",IF(COUNTIF($D$4:$G$4,$B185)=0,"승자 이름?",IF(COUNTIF(D185:G185,"쉼")&lt;&gt;1,"쉼 1명 표시!",IF(INDEX(D185:G185,MATCH($B185,$D$4:$G$4,0))="쉼","승자가 쉼?","✓"))))))</f>
        <v/>
      </c>
      <c r="M185" s="27"/>
      <c r="N185" s="21" t="n">
        <f aca="false">IF(D185="쉼",0,IF(D185="",1,IFERROR(VALUE(LEFT(D185,1)),1)))</f>
        <v>1</v>
      </c>
      <c r="O185" s="21" t="n">
        <f aca="false">IF(E185="쉼",0,IF(E185="",1,IFERROR(VALUE(LEFT(E185,1)),1)))</f>
        <v>1</v>
      </c>
      <c r="P185" s="21" t="n">
        <f aca="false">IF(F185="쉼",0,IF(F185="",1,IFERROR(VALUE(LEFT(F185,1)),1)))</f>
        <v>1</v>
      </c>
      <c r="Q185" s="21" t="n">
        <f aca="false">IF(G185="쉼",0,IF(G185="",1,IFERROR(VALUE(LEFT(G185,1)),1)))</f>
        <v>1</v>
      </c>
    </row>
    <row r="186" customFormat="false" ht="15" hidden="false" customHeight="false" outlineLevel="0" collapsed="false">
      <c r="A186" s="22" t="n">
        <v>182</v>
      </c>
      <c r="B186" s="23"/>
      <c r="C186" s="23"/>
      <c r="D186" s="24"/>
      <c r="E186" s="24"/>
      <c r="F186" s="24"/>
      <c r="G186" s="24"/>
      <c r="H186" s="25" t="str">
        <f aca="false">IF(OR($B186="",$C186="",COUNTIF($D$4:$G$4,$B186)=0),"",IF($B186=H$4,$C186*정산!$C$4*(SUM($N186:$Q186)-N186),-$C186*정산!$C$4*N186))</f>
        <v/>
      </c>
      <c r="I186" s="25" t="str">
        <f aca="false">IF(OR($B186="",$C186="",COUNTIF($D$4:$G$4,$B186)=0),"",IF($B186=I$4,$C186*정산!$C$4*(SUM($N186:$Q186)-O186),-$C186*정산!$C$4*O186))</f>
        <v/>
      </c>
      <c r="J186" s="25" t="str">
        <f aca="false">IF(OR($B186="",$C186="",COUNTIF($D$4:$G$4,$B186)=0),"",IF($B186=J$4,$C186*정산!$C$4*(SUM($N186:$Q186)-P186),-$C186*정산!$C$4*P186))</f>
        <v/>
      </c>
      <c r="K186" s="25" t="str">
        <f aca="false">IF(OR($B186="",$C186="",COUNTIF($D$4:$G$4,$B186)=0),"",IF($B186=K$4,$C186*정산!$C$4*(SUM($N186:$Q186)-Q186),-$C186*정산!$C$4*Q186))</f>
        <v/>
      </c>
      <c r="L186" s="26" t="str">
        <f aca="false">IF(AND($B186="",$C186=""),"",IF($B186="","승자 선택!",IF($C186="","점수 입력!",IF(COUNTIF($D$4:$G$4,$B186)=0,"승자 이름?",IF(COUNTIF(D186:G186,"쉼")&lt;&gt;1,"쉼 1명 표시!",IF(INDEX(D186:G186,MATCH($B186,$D$4:$G$4,0))="쉼","승자가 쉼?","✓"))))))</f>
        <v/>
      </c>
      <c r="M186" s="27"/>
      <c r="N186" s="21" t="n">
        <f aca="false">IF(D186="쉼",0,IF(D186="",1,IFERROR(VALUE(LEFT(D186,1)),1)))</f>
        <v>1</v>
      </c>
      <c r="O186" s="21" t="n">
        <f aca="false">IF(E186="쉼",0,IF(E186="",1,IFERROR(VALUE(LEFT(E186,1)),1)))</f>
        <v>1</v>
      </c>
      <c r="P186" s="21" t="n">
        <f aca="false">IF(F186="쉼",0,IF(F186="",1,IFERROR(VALUE(LEFT(F186,1)),1)))</f>
        <v>1</v>
      </c>
      <c r="Q186" s="21" t="n">
        <f aca="false">IF(G186="쉼",0,IF(G186="",1,IFERROR(VALUE(LEFT(G186,1)),1)))</f>
        <v>1</v>
      </c>
    </row>
    <row r="187" customFormat="false" ht="15" hidden="false" customHeight="false" outlineLevel="0" collapsed="false">
      <c r="A187" s="22" t="n">
        <v>183</v>
      </c>
      <c r="B187" s="23"/>
      <c r="C187" s="23"/>
      <c r="D187" s="24"/>
      <c r="E187" s="24"/>
      <c r="F187" s="24"/>
      <c r="G187" s="24"/>
      <c r="H187" s="25" t="str">
        <f aca="false">IF(OR($B187="",$C187="",COUNTIF($D$4:$G$4,$B187)=0),"",IF($B187=H$4,$C187*정산!$C$4*(SUM($N187:$Q187)-N187),-$C187*정산!$C$4*N187))</f>
        <v/>
      </c>
      <c r="I187" s="25" t="str">
        <f aca="false">IF(OR($B187="",$C187="",COUNTIF($D$4:$G$4,$B187)=0),"",IF($B187=I$4,$C187*정산!$C$4*(SUM($N187:$Q187)-O187),-$C187*정산!$C$4*O187))</f>
        <v/>
      </c>
      <c r="J187" s="25" t="str">
        <f aca="false">IF(OR($B187="",$C187="",COUNTIF($D$4:$G$4,$B187)=0),"",IF($B187=J$4,$C187*정산!$C$4*(SUM($N187:$Q187)-P187),-$C187*정산!$C$4*P187))</f>
        <v/>
      </c>
      <c r="K187" s="25" t="str">
        <f aca="false">IF(OR($B187="",$C187="",COUNTIF($D$4:$G$4,$B187)=0),"",IF($B187=K$4,$C187*정산!$C$4*(SUM($N187:$Q187)-Q187),-$C187*정산!$C$4*Q187))</f>
        <v/>
      </c>
      <c r="L187" s="26" t="str">
        <f aca="false">IF(AND($B187="",$C187=""),"",IF($B187="","승자 선택!",IF($C187="","점수 입력!",IF(COUNTIF($D$4:$G$4,$B187)=0,"승자 이름?",IF(COUNTIF(D187:G187,"쉼")&lt;&gt;1,"쉼 1명 표시!",IF(INDEX(D187:G187,MATCH($B187,$D$4:$G$4,0))="쉼","승자가 쉼?","✓"))))))</f>
        <v/>
      </c>
      <c r="M187" s="27"/>
      <c r="N187" s="21" t="n">
        <f aca="false">IF(D187="쉼",0,IF(D187="",1,IFERROR(VALUE(LEFT(D187,1)),1)))</f>
        <v>1</v>
      </c>
      <c r="O187" s="21" t="n">
        <f aca="false">IF(E187="쉼",0,IF(E187="",1,IFERROR(VALUE(LEFT(E187,1)),1)))</f>
        <v>1</v>
      </c>
      <c r="P187" s="21" t="n">
        <f aca="false">IF(F187="쉼",0,IF(F187="",1,IFERROR(VALUE(LEFT(F187,1)),1)))</f>
        <v>1</v>
      </c>
      <c r="Q187" s="21" t="n">
        <f aca="false">IF(G187="쉼",0,IF(G187="",1,IFERROR(VALUE(LEFT(G187,1)),1)))</f>
        <v>1</v>
      </c>
    </row>
    <row r="188" customFormat="false" ht="15" hidden="false" customHeight="false" outlineLevel="0" collapsed="false">
      <c r="A188" s="22" t="n">
        <v>184</v>
      </c>
      <c r="B188" s="23"/>
      <c r="C188" s="23"/>
      <c r="D188" s="24"/>
      <c r="E188" s="24"/>
      <c r="F188" s="24"/>
      <c r="G188" s="24"/>
      <c r="H188" s="25" t="str">
        <f aca="false">IF(OR($B188="",$C188="",COUNTIF($D$4:$G$4,$B188)=0),"",IF($B188=H$4,$C188*정산!$C$4*(SUM($N188:$Q188)-N188),-$C188*정산!$C$4*N188))</f>
        <v/>
      </c>
      <c r="I188" s="25" t="str">
        <f aca="false">IF(OR($B188="",$C188="",COUNTIF($D$4:$G$4,$B188)=0),"",IF($B188=I$4,$C188*정산!$C$4*(SUM($N188:$Q188)-O188),-$C188*정산!$C$4*O188))</f>
        <v/>
      </c>
      <c r="J188" s="25" t="str">
        <f aca="false">IF(OR($B188="",$C188="",COUNTIF($D$4:$G$4,$B188)=0),"",IF($B188=J$4,$C188*정산!$C$4*(SUM($N188:$Q188)-P188),-$C188*정산!$C$4*P188))</f>
        <v/>
      </c>
      <c r="K188" s="25" t="str">
        <f aca="false">IF(OR($B188="",$C188="",COUNTIF($D$4:$G$4,$B188)=0),"",IF($B188=K$4,$C188*정산!$C$4*(SUM($N188:$Q188)-Q188),-$C188*정산!$C$4*Q188))</f>
        <v/>
      </c>
      <c r="L188" s="26" t="str">
        <f aca="false">IF(AND($B188="",$C188=""),"",IF($B188="","승자 선택!",IF($C188="","점수 입력!",IF(COUNTIF($D$4:$G$4,$B188)=0,"승자 이름?",IF(COUNTIF(D188:G188,"쉼")&lt;&gt;1,"쉼 1명 표시!",IF(INDEX(D188:G188,MATCH($B188,$D$4:$G$4,0))="쉼","승자가 쉼?","✓"))))))</f>
        <v/>
      </c>
      <c r="M188" s="27"/>
      <c r="N188" s="21" t="n">
        <f aca="false">IF(D188="쉼",0,IF(D188="",1,IFERROR(VALUE(LEFT(D188,1)),1)))</f>
        <v>1</v>
      </c>
      <c r="O188" s="21" t="n">
        <f aca="false">IF(E188="쉼",0,IF(E188="",1,IFERROR(VALUE(LEFT(E188,1)),1)))</f>
        <v>1</v>
      </c>
      <c r="P188" s="21" t="n">
        <f aca="false">IF(F188="쉼",0,IF(F188="",1,IFERROR(VALUE(LEFT(F188,1)),1)))</f>
        <v>1</v>
      </c>
      <c r="Q188" s="21" t="n">
        <f aca="false">IF(G188="쉼",0,IF(G188="",1,IFERROR(VALUE(LEFT(G188,1)),1)))</f>
        <v>1</v>
      </c>
    </row>
    <row r="189" customFormat="false" ht="15" hidden="false" customHeight="false" outlineLevel="0" collapsed="false">
      <c r="A189" s="22" t="n">
        <v>185</v>
      </c>
      <c r="B189" s="23"/>
      <c r="C189" s="23"/>
      <c r="D189" s="24"/>
      <c r="E189" s="24"/>
      <c r="F189" s="24"/>
      <c r="G189" s="24"/>
      <c r="H189" s="25" t="str">
        <f aca="false">IF(OR($B189="",$C189="",COUNTIF($D$4:$G$4,$B189)=0),"",IF($B189=H$4,$C189*정산!$C$4*(SUM($N189:$Q189)-N189),-$C189*정산!$C$4*N189))</f>
        <v/>
      </c>
      <c r="I189" s="25" t="str">
        <f aca="false">IF(OR($B189="",$C189="",COUNTIF($D$4:$G$4,$B189)=0),"",IF($B189=I$4,$C189*정산!$C$4*(SUM($N189:$Q189)-O189),-$C189*정산!$C$4*O189))</f>
        <v/>
      </c>
      <c r="J189" s="25" t="str">
        <f aca="false">IF(OR($B189="",$C189="",COUNTIF($D$4:$G$4,$B189)=0),"",IF($B189=J$4,$C189*정산!$C$4*(SUM($N189:$Q189)-P189),-$C189*정산!$C$4*P189))</f>
        <v/>
      </c>
      <c r="K189" s="25" t="str">
        <f aca="false">IF(OR($B189="",$C189="",COUNTIF($D$4:$G$4,$B189)=0),"",IF($B189=K$4,$C189*정산!$C$4*(SUM($N189:$Q189)-Q189),-$C189*정산!$C$4*Q189))</f>
        <v/>
      </c>
      <c r="L189" s="26" t="str">
        <f aca="false">IF(AND($B189="",$C189=""),"",IF($B189="","승자 선택!",IF($C189="","점수 입력!",IF(COUNTIF($D$4:$G$4,$B189)=0,"승자 이름?",IF(COUNTIF(D189:G189,"쉼")&lt;&gt;1,"쉼 1명 표시!",IF(INDEX(D189:G189,MATCH($B189,$D$4:$G$4,0))="쉼","승자가 쉼?","✓"))))))</f>
        <v/>
      </c>
      <c r="M189" s="27"/>
      <c r="N189" s="21" t="n">
        <f aca="false">IF(D189="쉼",0,IF(D189="",1,IFERROR(VALUE(LEFT(D189,1)),1)))</f>
        <v>1</v>
      </c>
      <c r="O189" s="21" t="n">
        <f aca="false">IF(E189="쉼",0,IF(E189="",1,IFERROR(VALUE(LEFT(E189,1)),1)))</f>
        <v>1</v>
      </c>
      <c r="P189" s="21" t="n">
        <f aca="false">IF(F189="쉼",0,IF(F189="",1,IFERROR(VALUE(LEFT(F189,1)),1)))</f>
        <v>1</v>
      </c>
      <c r="Q189" s="21" t="n">
        <f aca="false">IF(G189="쉼",0,IF(G189="",1,IFERROR(VALUE(LEFT(G189,1)),1)))</f>
        <v>1</v>
      </c>
    </row>
    <row r="190" customFormat="false" ht="15" hidden="false" customHeight="false" outlineLevel="0" collapsed="false">
      <c r="A190" s="22" t="n">
        <v>186</v>
      </c>
      <c r="B190" s="23"/>
      <c r="C190" s="23"/>
      <c r="D190" s="24"/>
      <c r="E190" s="24"/>
      <c r="F190" s="24"/>
      <c r="G190" s="24"/>
      <c r="H190" s="25" t="str">
        <f aca="false">IF(OR($B190="",$C190="",COUNTIF($D$4:$G$4,$B190)=0),"",IF($B190=H$4,$C190*정산!$C$4*(SUM($N190:$Q190)-N190),-$C190*정산!$C$4*N190))</f>
        <v/>
      </c>
      <c r="I190" s="25" t="str">
        <f aca="false">IF(OR($B190="",$C190="",COUNTIF($D$4:$G$4,$B190)=0),"",IF($B190=I$4,$C190*정산!$C$4*(SUM($N190:$Q190)-O190),-$C190*정산!$C$4*O190))</f>
        <v/>
      </c>
      <c r="J190" s="25" t="str">
        <f aca="false">IF(OR($B190="",$C190="",COUNTIF($D$4:$G$4,$B190)=0),"",IF($B190=J$4,$C190*정산!$C$4*(SUM($N190:$Q190)-P190),-$C190*정산!$C$4*P190))</f>
        <v/>
      </c>
      <c r="K190" s="25" t="str">
        <f aca="false">IF(OR($B190="",$C190="",COUNTIF($D$4:$G$4,$B190)=0),"",IF($B190=K$4,$C190*정산!$C$4*(SUM($N190:$Q190)-Q190),-$C190*정산!$C$4*Q190))</f>
        <v/>
      </c>
      <c r="L190" s="26" t="str">
        <f aca="false">IF(AND($B190="",$C190=""),"",IF($B190="","승자 선택!",IF($C190="","점수 입력!",IF(COUNTIF($D$4:$G$4,$B190)=0,"승자 이름?",IF(COUNTIF(D190:G190,"쉼")&lt;&gt;1,"쉼 1명 표시!",IF(INDEX(D190:G190,MATCH($B190,$D$4:$G$4,0))="쉼","승자가 쉼?","✓"))))))</f>
        <v/>
      </c>
      <c r="M190" s="27"/>
      <c r="N190" s="21" t="n">
        <f aca="false">IF(D190="쉼",0,IF(D190="",1,IFERROR(VALUE(LEFT(D190,1)),1)))</f>
        <v>1</v>
      </c>
      <c r="O190" s="21" t="n">
        <f aca="false">IF(E190="쉼",0,IF(E190="",1,IFERROR(VALUE(LEFT(E190,1)),1)))</f>
        <v>1</v>
      </c>
      <c r="P190" s="21" t="n">
        <f aca="false">IF(F190="쉼",0,IF(F190="",1,IFERROR(VALUE(LEFT(F190,1)),1)))</f>
        <v>1</v>
      </c>
      <c r="Q190" s="21" t="n">
        <f aca="false">IF(G190="쉼",0,IF(G190="",1,IFERROR(VALUE(LEFT(G190,1)),1)))</f>
        <v>1</v>
      </c>
    </row>
    <row r="191" customFormat="false" ht="15" hidden="false" customHeight="false" outlineLevel="0" collapsed="false">
      <c r="A191" s="22" t="n">
        <v>187</v>
      </c>
      <c r="B191" s="23"/>
      <c r="C191" s="23"/>
      <c r="D191" s="24"/>
      <c r="E191" s="24"/>
      <c r="F191" s="24"/>
      <c r="G191" s="24"/>
      <c r="H191" s="25" t="str">
        <f aca="false">IF(OR($B191="",$C191="",COUNTIF($D$4:$G$4,$B191)=0),"",IF($B191=H$4,$C191*정산!$C$4*(SUM($N191:$Q191)-N191),-$C191*정산!$C$4*N191))</f>
        <v/>
      </c>
      <c r="I191" s="25" t="str">
        <f aca="false">IF(OR($B191="",$C191="",COUNTIF($D$4:$G$4,$B191)=0),"",IF($B191=I$4,$C191*정산!$C$4*(SUM($N191:$Q191)-O191),-$C191*정산!$C$4*O191))</f>
        <v/>
      </c>
      <c r="J191" s="25" t="str">
        <f aca="false">IF(OR($B191="",$C191="",COUNTIF($D$4:$G$4,$B191)=0),"",IF($B191=J$4,$C191*정산!$C$4*(SUM($N191:$Q191)-P191),-$C191*정산!$C$4*P191))</f>
        <v/>
      </c>
      <c r="K191" s="25" t="str">
        <f aca="false">IF(OR($B191="",$C191="",COUNTIF($D$4:$G$4,$B191)=0),"",IF($B191=K$4,$C191*정산!$C$4*(SUM($N191:$Q191)-Q191),-$C191*정산!$C$4*Q191))</f>
        <v/>
      </c>
      <c r="L191" s="26" t="str">
        <f aca="false">IF(AND($B191="",$C191=""),"",IF($B191="","승자 선택!",IF($C191="","점수 입력!",IF(COUNTIF($D$4:$G$4,$B191)=0,"승자 이름?",IF(COUNTIF(D191:G191,"쉼")&lt;&gt;1,"쉼 1명 표시!",IF(INDEX(D191:G191,MATCH($B191,$D$4:$G$4,0))="쉼","승자가 쉼?","✓"))))))</f>
        <v/>
      </c>
      <c r="M191" s="27"/>
      <c r="N191" s="21" t="n">
        <f aca="false">IF(D191="쉼",0,IF(D191="",1,IFERROR(VALUE(LEFT(D191,1)),1)))</f>
        <v>1</v>
      </c>
      <c r="O191" s="21" t="n">
        <f aca="false">IF(E191="쉼",0,IF(E191="",1,IFERROR(VALUE(LEFT(E191,1)),1)))</f>
        <v>1</v>
      </c>
      <c r="P191" s="21" t="n">
        <f aca="false">IF(F191="쉼",0,IF(F191="",1,IFERROR(VALUE(LEFT(F191,1)),1)))</f>
        <v>1</v>
      </c>
      <c r="Q191" s="21" t="n">
        <f aca="false">IF(G191="쉼",0,IF(G191="",1,IFERROR(VALUE(LEFT(G191,1)),1)))</f>
        <v>1</v>
      </c>
    </row>
    <row r="192" customFormat="false" ht="15" hidden="false" customHeight="false" outlineLevel="0" collapsed="false">
      <c r="A192" s="22" t="n">
        <v>188</v>
      </c>
      <c r="B192" s="23"/>
      <c r="C192" s="23"/>
      <c r="D192" s="24"/>
      <c r="E192" s="24"/>
      <c r="F192" s="24"/>
      <c r="G192" s="24"/>
      <c r="H192" s="25" t="str">
        <f aca="false">IF(OR($B192="",$C192="",COUNTIF($D$4:$G$4,$B192)=0),"",IF($B192=H$4,$C192*정산!$C$4*(SUM($N192:$Q192)-N192),-$C192*정산!$C$4*N192))</f>
        <v/>
      </c>
      <c r="I192" s="25" t="str">
        <f aca="false">IF(OR($B192="",$C192="",COUNTIF($D$4:$G$4,$B192)=0),"",IF($B192=I$4,$C192*정산!$C$4*(SUM($N192:$Q192)-O192),-$C192*정산!$C$4*O192))</f>
        <v/>
      </c>
      <c r="J192" s="25" t="str">
        <f aca="false">IF(OR($B192="",$C192="",COUNTIF($D$4:$G$4,$B192)=0),"",IF($B192=J$4,$C192*정산!$C$4*(SUM($N192:$Q192)-P192),-$C192*정산!$C$4*P192))</f>
        <v/>
      </c>
      <c r="K192" s="25" t="str">
        <f aca="false">IF(OR($B192="",$C192="",COUNTIF($D$4:$G$4,$B192)=0),"",IF($B192=K$4,$C192*정산!$C$4*(SUM($N192:$Q192)-Q192),-$C192*정산!$C$4*Q192))</f>
        <v/>
      </c>
      <c r="L192" s="26" t="str">
        <f aca="false">IF(AND($B192="",$C192=""),"",IF($B192="","승자 선택!",IF($C192="","점수 입력!",IF(COUNTIF($D$4:$G$4,$B192)=0,"승자 이름?",IF(COUNTIF(D192:G192,"쉼")&lt;&gt;1,"쉼 1명 표시!",IF(INDEX(D192:G192,MATCH($B192,$D$4:$G$4,0))="쉼","승자가 쉼?","✓"))))))</f>
        <v/>
      </c>
      <c r="M192" s="27"/>
      <c r="N192" s="21" t="n">
        <f aca="false">IF(D192="쉼",0,IF(D192="",1,IFERROR(VALUE(LEFT(D192,1)),1)))</f>
        <v>1</v>
      </c>
      <c r="O192" s="21" t="n">
        <f aca="false">IF(E192="쉼",0,IF(E192="",1,IFERROR(VALUE(LEFT(E192,1)),1)))</f>
        <v>1</v>
      </c>
      <c r="P192" s="21" t="n">
        <f aca="false">IF(F192="쉼",0,IF(F192="",1,IFERROR(VALUE(LEFT(F192,1)),1)))</f>
        <v>1</v>
      </c>
      <c r="Q192" s="21" t="n">
        <f aca="false">IF(G192="쉼",0,IF(G192="",1,IFERROR(VALUE(LEFT(G192,1)),1)))</f>
        <v>1</v>
      </c>
    </row>
    <row r="193" customFormat="false" ht="15" hidden="false" customHeight="false" outlineLevel="0" collapsed="false">
      <c r="A193" s="22" t="n">
        <v>189</v>
      </c>
      <c r="B193" s="23"/>
      <c r="C193" s="23"/>
      <c r="D193" s="24"/>
      <c r="E193" s="24"/>
      <c r="F193" s="24"/>
      <c r="G193" s="24"/>
      <c r="H193" s="25" t="str">
        <f aca="false">IF(OR($B193="",$C193="",COUNTIF($D$4:$G$4,$B193)=0),"",IF($B193=H$4,$C193*정산!$C$4*(SUM($N193:$Q193)-N193),-$C193*정산!$C$4*N193))</f>
        <v/>
      </c>
      <c r="I193" s="25" t="str">
        <f aca="false">IF(OR($B193="",$C193="",COUNTIF($D$4:$G$4,$B193)=0),"",IF($B193=I$4,$C193*정산!$C$4*(SUM($N193:$Q193)-O193),-$C193*정산!$C$4*O193))</f>
        <v/>
      </c>
      <c r="J193" s="25" t="str">
        <f aca="false">IF(OR($B193="",$C193="",COUNTIF($D$4:$G$4,$B193)=0),"",IF($B193=J$4,$C193*정산!$C$4*(SUM($N193:$Q193)-P193),-$C193*정산!$C$4*P193))</f>
        <v/>
      </c>
      <c r="K193" s="25" t="str">
        <f aca="false">IF(OR($B193="",$C193="",COUNTIF($D$4:$G$4,$B193)=0),"",IF($B193=K$4,$C193*정산!$C$4*(SUM($N193:$Q193)-Q193),-$C193*정산!$C$4*Q193))</f>
        <v/>
      </c>
      <c r="L193" s="26" t="str">
        <f aca="false">IF(AND($B193="",$C193=""),"",IF($B193="","승자 선택!",IF($C193="","점수 입력!",IF(COUNTIF($D$4:$G$4,$B193)=0,"승자 이름?",IF(COUNTIF(D193:G193,"쉼")&lt;&gt;1,"쉼 1명 표시!",IF(INDEX(D193:G193,MATCH($B193,$D$4:$G$4,0))="쉼","승자가 쉼?","✓"))))))</f>
        <v/>
      </c>
      <c r="M193" s="27"/>
      <c r="N193" s="21" t="n">
        <f aca="false">IF(D193="쉼",0,IF(D193="",1,IFERROR(VALUE(LEFT(D193,1)),1)))</f>
        <v>1</v>
      </c>
      <c r="O193" s="21" t="n">
        <f aca="false">IF(E193="쉼",0,IF(E193="",1,IFERROR(VALUE(LEFT(E193,1)),1)))</f>
        <v>1</v>
      </c>
      <c r="P193" s="21" t="n">
        <f aca="false">IF(F193="쉼",0,IF(F193="",1,IFERROR(VALUE(LEFT(F193,1)),1)))</f>
        <v>1</v>
      </c>
      <c r="Q193" s="21" t="n">
        <f aca="false">IF(G193="쉼",0,IF(G193="",1,IFERROR(VALUE(LEFT(G193,1)),1)))</f>
        <v>1</v>
      </c>
    </row>
    <row r="194" customFormat="false" ht="15" hidden="false" customHeight="false" outlineLevel="0" collapsed="false">
      <c r="A194" s="22" t="n">
        <v>190</v>
      </c>
      <c r="B194" s="23"/>
      <c r="C194" s="23"/>
      <c r="D194" s="24"/>
      <c r="E194" s="24"/>
      <c r="F194" s="24"/>
      <c r="G194" s="24"/>
      <c r="H194" s="25" t="str">
        <f aca="false">IF(OR($B194="",$C194="",COUNTIF($D$4:$G$4,$B194)=0),"",IF($B194=H$4,$C194*정산!$C$4*(SUM($N194:$Q194)-N194),-$C194*정산!$C$4*N194))</f>
        <v/>
      </c>
      <c r="I194" s="25" t="str">
        <f aca="false">IF(OR($B194="",$C194="",COUNTIF($D$4:$G$4,$B194)=0),"",IF($B194=I$4,$C194*정산!$C$4*(SUM($N194:$Q194)-O194),-$C194*정산!$C$4*O194))</f>
        <v/>
      </c>
      <c r="J194" s="25" t="str">
        <f aca="false">IF(OR($B194="",$C194="",COUNTIF($D$4:$G$4,$B194)=0),"",IF($B194=J$4,$C194*정산!$C$4*(SUM($N194:$Q194)-P194),-$C194*정산!$C$4*P194))</f>
        <v/>
      </c>
      <c r="K194" s="25" t="str">
        <f aca="false">IF(OR($B194="",$C194="",COUNTIF($D$4:$G$4,$B194)=0),"",IF($B194=K$4,$C194*정산!$C$4*(SUM($N194:$Q194)-Q194),-$C194*정산!$C$4*Q194))</f>
        <v/>
      </c>
      <c r="L194" s="26" t="str">
        <f aca="false">IF(AND($B194="",$C194=""),"",IF($B194="","승자 선택!",IF($C194="","점수 입력!",IF(COUNTIF($D$4:$G$4,$B194)=0,"승자 이름?",IF(COUNTIF(D194:G194,"쉼")&lt;&gt;1,"쉼 1명 표시!",IF(INDEX(D194:G194,MATCH($B194,$D$4:$G$4,0))="쉼","승자가 쉼?","✓"))))))</f>
        <v/>
      </c>
      <c r="M194" s="27"/>
      <c r="N194" s="21" t="n">
        <f aca="false">IF(D194="쉼",0,IF(D194="",1,IFERROR(VALUE(LEFT(D194,1)),1)))</f>
        <v>1</v>
      </c>
      <c r="O194" s="21" t="n">
        <f aca="false">IF(E194="쉼",0,IF(E194="",1,IFERROR(VALUE(LEFT(E194,1)),1)))</f>
        <v>1</v>
      </c>
      <c r="P194" s="21" t="n">
        <f aca="false">IF(F194="쉼",0,IF(F194="",1,IFERROR(VALUE(LEFT(F194,1)),1)))</f>
        <v>1</v>
      </c>
      <c r="Q194" s="21" t="n">
        <f aca="false">IF(G194="쉼",0,IF(G194="",1,IFERROR(VALUE(LEFT(G194,1)),1)))</f>
        <v>1</v>
      </c>
    </row>
    <row r="195" customFormat="false" ht="15" hidden="false" customHeight="false" outlineLevel="0" collapsed="false">
      <c r="A195" s="22" t="n">
        <v>191</v>
      </c>
      <c r="B195" s="23"/>
      <c r="C195" s="23"/>
      <c r="D195" s="24"/>
      <c r="E195" s="24"/>
      <c r="F195" s="24"/>
      <c r="G195" s="24"/>
      <c r="H195" s="25" t="str">
        <f aca="false">IF(OR($B195="",$C195="",COUNTIF($D$4:$G$4,$B195)=0),"",IF($B195=H$4,$C195*정산!$C$4*(SUM($N195:$Q195)-N195),-$C195*정산!$C$4*N195))</f>
        <v/>
      </c>
      <c r="I195" s="25" t="str">
        <f aca="false">IF(OR($B195="",$C195="",COUNTIF($D$4:$G$4,$B195)=0),"",IF($B195=I$4,$C195*정산!$C$4*(SUM($N195:$Q195)-O195),-$C195*정산!$C$4*O195))</f>
        <v/>
      </c>
      <c r="J195" s="25" t="str">
        <f aca="false">IF(OR($B195="",$C195="",COUNTIF($D$4:$G$4,$B195)=0),"",IF($B195=J$4,$C195*정산!$C$4*(SUM($N195:$Q195)-P195),-$C195*정산!$C$4*P195))</f>
        <v/>
      </c>
      <c r="K195" s="25" t="str">
        <f aca="false">IF(OR($B195="",$C195="",COUNTIF($D$4:$G$4,$B195)=0),"",IF($B195=K$4,$C195*정산!$C$4*(SUM($N195:$Q195)-Q195),-$C195*정산!$C$4*Q195))</f>
        <v/>
      </c>
      <c r="L195" s="26" t="str">
        <f aca="false">IF(AND($B195="",$C195=""),"",IF($B195="","승자 선택!",IF($C195="","점수 입력!",IF(COUNTIF($D$4:$G$4,$B195)=0,"승자 이름?",IF(COUNTIF(D195:G195,"쉼")&lt;&gt;1,"쉼 1명 표시!",IF(INDEX(D195:G195,MATCH($B195,$D$4:$G$4,0))="쉼","승자가 쉼?","✓"))))))</f>
        <v/>
      </c>
      <c r="M195" s="27"/>
      <c r="N195" s="21" t="n">
        <f aca="false">IF(D195="쉼",0,IF(D195="",1,IFERROR(VALUE(LEFT(D195,1)),1)))</f>
        <v>1</v>
      </c>
      <c r="O195" s="21" t="n">
        <f aca="false">IF(E195="쉼",0,IF(E195="",1,IFERROR(VALUE(LEFT(E195,1)),1)))</f>
        <v>1</v>
      </c>
      <c r="P195" s="21" t="n">
        <f aca="false">IF(F195="쉼",0,IF(F195="",1,IFERROR(VALUE(LEFT(F195,1)),1)))</f>
        <v>1</v>
      </c>
      <c r="Q195" s="21" t="n">
        <f aca="false">IF(G195="쉼",0,IF(G195="",1,IFERROR(VALUE(LEFT(G195,1)),1)))</f>
        <v>1</v>
      </c>
    </row>
    <row r="196" customFormat="false" ht="15" hidden="false" customHeight="false" outlineLevel="0" collapsed="false">
      <c r="A196" s="22" t="n">
        <v>192</v>
      </c>
      <c r="B196" s="23"/>
      <c r="C196" s="23"/>
      <c r="D196" s="24"/>
      <c r="E196" s="24"/>
      <c r="F196" s="24"/>
      <c r="G196" s="24"/>
      <c r="H196" s="25" t="str">
        <f aca="false">IF(OR($B196="",$C196="",COUNTIF($D$4:$G$4,$B196)=0),"",IF($B196=H$4,$C196*정산!$C$4*(SUM($N196:$Q196)-N196),-$C196*정산!$C$4*N196))</f>
        <v/>
      </c>
      <c r="I196" s="25" t="str">
        <f aca="false">IF(OR($B196="",$C196="",COUNTIF($D$4:$G$4,$B196)=0),"",IF($B196=I$4,$C196*정산!$C$4*(SUM($N196:$Q196)-O196),-$C196*정산!$C$4*O196))</f>
        <v/>
      </c>
      <c r="J196" s="25" t="str">
        <f aca="false">IF(OR($B196="",$C196="",COUNTIF($D$4:$G$4,$B196)=0),"",IF($B196=J$4,$C196*정산!$C$4*(SUM($N196:$Q196)-P196),-$C196*정산!$C$4*P196))</f>
        <v/>
      </c>
      <c r="K196" s="25" t="str">
        <f aca="false">IF(OR($B196="",$C196="",COUNTIF($D$4:$G$4,$B196)=0),"",IF($B196=K$4,$C196*정산!$C$4*(SUM($N196:$Q196)-Q196),-$C196*정산!$C$4*Q196))</f>
        <v/>
      </c>
      <c r="L196" s="26" t="str">
        <f aca="false">IF(AND($B196="",$C196=""),"",IF($B196="","승자 선택!",IF($C196="","점수 입력!",IF(COUNTIF($D$4:$G$4,$B196)=0,"승자 이름?",IF(COUNTIF(D196:G196,"쉼")&lt;&gt;1,"쉼 1명 표시!",IF(INDEX(D196:G196,MATCH($B196,$D$4:$G$4,0))="쉼","승자가 쉼?","✓"))))))</f>
        <v/>
      </c>
      <c r="M196" s="27"/>
      <c r="N196" s="21" t="n">
        <f aca="false">IF(D196="쉼",0,IF(D196="",1,IFERROR(VALUE(LEFT(D196,1)),1)))</f>
        <v>1</v>
      </c>
      <c r="O196" s="21" t="n">
        <f aca="false">IF(E196="쉼",0,IF(E196="",1,IFERROR(VALUE(LEFT(E196,1)),1)))</f>
        <v>1</v>
      </c>
      <c r="P196" s="21" t="n">
        <f aca="false">IF(F196="쉼",0,IF(F196="",1,IFERROR(VALUE(LEFT(F196,1)),1)))</f>
        <v>1</v>
      </c>
      <c r="Q196" s="21" t="n">
        <f aca="false">IF(G196="쉼",0,IF(G196="",1,IFERROR(VALUE(LEFT(G196,1)),1)))</f>
        <v>1</v>
      </c>
    </row>
    <row r="197" customFormat="false" ht="15" hidden="false" customHeight="false" outlineLevel="0" collapsed="false">
      <c r="A197" s="22" t="n">
        <v>193</v>
      </c>
      <c r="B197" s="23"/>
      <c r="C197" s="23"/>
      <c r="D197" s="24"/>
      <c r="E197" s="24"/>
      <c r="F197" s="24"/>
      <c r="G197" s="24"/>
      <c r="H197" s="25" t="str">
        <f aca="false">IF(OR($B197="",$C197="",COUNTIF($D$4:$G$4,$B197)=0),"",IF($B197=H$4,$C197*정산!$C$4*(SUM($N197:$Q197)-N197),-$C197*정산!$C$4*N197))</f>
        <v/>
      </c>
      <c r="I197" s="25" t="str">
        <f aca="false">IF(OR($B197="",$C197="",COUNTIF($D$4:$G$4,$B197)=0),"",IF($B197=I$4,$C197*정산!$C$4*(SUM($N197:$Q197)-O197),-$C197*정산!$C$4*O197))</f>
        <v/>
      </c>
      <c r="J197" s="25" t="str">
        <f aca="false">IF(OR($B197="",$C197="",COUNTIF($D$4:$G$4,$B197)=0),"",IF($B197=J$4,$C197*정산!$C$4*(SUM($N197:$Q197)-P197),-$C197*정산!$C$4*P197))</f>
        <v/>
      </c>
      <c r="K197" s="25" t="str">
        <f aca="false">IF(OR($B197="",$C197="",COUNTIF($D$4:$G$4,$B197)=0),"",IF($B197=K$4,$C197*정산!$C$4*(SUM($N197:$Q197)-Q197),-$C197*정산!$C$4*Q197))</f>
        <v/>
      </c>
      <c r="L197" s="26" t="str">
        <f aca="false">IF(AND($B197="",$C197=""),"",IF($B197="","승자 선택!",IF($C197="","점수 입력!",IF(COUNTIF($D$4:$G$4,$B197)=0,"승자 이름?",IF(COUNTIF(D197:G197,"쉼")&lt;&gt;1,"쉼 1명 표시!",IF(INDEX(D197:G197,MATCH($B197,$D$4:$G$4,0))="쉼","승자가 쉼?","✓"))))))</f>
        <v/>
      </c>
      <c r="M197" s="27"/>
      <c r="N197" s="21" t="n">
        <f aca="false">IF(D197="쉼",0,IF(D197="",1,IFERROR(VALUE(LEFT(D197,1)),1)))</f>
        <v>1</v>
      </c>
      <c r="O197" s="21" t="n">
        <f aca="false">IF(E197="쉼",0,IF(E197="",1,IFERROR(VALUE(LEFT(E197,1)),1)))</f>
        <v>1</v>
      </c>
      <c r="P197" s="21" t="n">
        <f aca="false">IF(F197="쉼",0,IF(F197="",1,IFERROR(VALUE(LEFT(F197,1)),1)))</f>
        <v>1</v>
      </c>
      <c r="Q197" s="21" t="n">
        <f aca="false">IF(G197="쉼",0,IF(G197="",1,IFERROR(VALUE(LEFT(G197,1)),1)))</f>
        <v>1</v>
      </c>
    </row>
    <row r="198" customFormat="false" ht="15" hidden="false" customHeight="false" outlineLevel="0" collapsed="false">
      <c r="A198" s="22" t="n">
        <v>194</v>
      </c>
      <c r="B198" s="23"/>
      <c r="C198" s="23"/>
      <c r="D198" s="24"/>
      <c r="E198" s="24"/>
      <c r="F198" s="24"/>
      <c r="G198" s="24"/>
      <c r="H198" s="25" t="str">
        <f aca="false">IF(OR($B198="",$C198="",COUNTIF($D$4:$G$4,$B198)=0),"",IF($B198=H$4,$C198*정산!$C$4*(SUM($N198:$Q198)-N198),-$C198*정산!$C$4*N198))</f>
        <v/>
      </c>
      <c r="I198" s="25" t="str">
        <f aca="false">IF(OR($B198="",$C198="",COUNTIF($D$4:$G$4,$B198)=0),"",IF($B198=I$4,$C198*정산!$C$4*(SUM($N198:$Q198)-O198),-$C198*정산!$C$4*O198))</f>
        <v/>
      </c>
      <c r="J198" s="25" t="str">
        <f aca="false">IF(OR($B198="",$C198="",COUNTIF($D$4:$G$4,$B198)=0),"",IF($B198=J$4,$C198*정산!$C$4*(SUM($N198:$Q198)-P198),-$C198*정산!$C$4*P198))</f>
        <v/>
      </c>
      <c r="K198" s="25" t="str">
        <f aca="false">IF(OR($B198="",$C198="",COUNTIF($D$4:$G$4,$B198)=0),"",IF($B198=K$4,$C198*정산!$C$4*(SUM($N198:$Q198)-Q198),-$C198*정산!$C$4*Q198))</f>
        <v/>
      </c>
      <c r="L198" s="26" t="str">
        <f aca="false">IF(AND($B198="",$C198=""),"",IF($B198="","승자 선택!",IF($C198="","점수 입력!",IF(COUNTIF($D$4:$G$4,$B198)=0,"승자 이름?",IF(COUNTIF(D198:G198,"쉼")&lt;&gt;1,"쉼 1명 표시!",IF(INDEX(D198:G198,MATCH($B198,$D$4:$G$4,0))="쉼","승자가 쉼?","✓"))))))</f>
        <v/>
      </c>
      <c r="M198" s="27"/>
      <c r="N198" s="21" t="n">
        <f aca="false">IF(D198="쉼",0,IF(D198="",1,IFERROR(VALUE(LEFT(D198,1)),1)))</f>
        <v>1</v>
      </c>
      <c r="O198" s="21" t="n">
        <f aca="false">IF(E198="쉼",0,IF(E198="",1,IFERROR(VALUE(LEFT(E198,1)),1)))</f>
        <v>1</v>
      </c>
      <c r="P198" s="21" t="n">
        <f aca="false">IF(F198="쉼",0,IF(F198="",1,IFERROR(VALUE(LEFT(F198,1)),1)))</f>
        <v>1</v>
      </c>
      <c r="Q198" s="21" t="n">
        <f aca="false">IF(G198="쉼",0,IF(G198="",1,IFERROR(VALUE(LEFT(G198,1)),1)))</f>
        <v>1</v>
      </c>
    </row>
    <row r="199" customFormat="false" ht="15" hidden="false" customHeight="false" outlineLevel="0" collapsed="false">
      <c r="A199" s="22" t="n">
        <v>195</v>
      </c>
      <c r="B199" s="23"/>
      <c r="C199" s="23"/>
      <c r="D199" s="24"/>
      <c r="E199" s="24"/>
      <c r="F199" s="24"/>
      <c r="G199" s="24"/>
      <c r="H199" s="25" t="str">
        <f aca="false">IF(OR($B199="",$C199="",COUNTIF($D$4:$G$4,$B199)=0),"",IF($B199=H$4,$C199*정산!$C$4*(SUM($N199:$Q199)-N199),-$C199*정산!$C$4*N199))</f>
        <v/>
      </c>
      <c r="I199" s="25" t="str">
        <f aca="false">IF(OR($B199="",$C199="",COUNTIF($D$4:$G$4,$B199)=0),"",IF($B199=I$4,$C199*정산!$C$4*(SUM($N199:$Q199)-O199),-$C199*정산!$C$4*O199))</f>
        <v/>
      </c>
      <c r="J199" s="25" t="str">
        <f aca="false">IF(OR($B199="",$C199="",COUNTIF($D$4:$G$4,$B199)=0),"",IF($B199=J$4,$C199*정산!$C$4*(SUM($N199:$Q199)-P199),-$C199*정산!$C$4*P199))</f>
        <v/>
      </c>
      <c r="K199" s="25" t="str">
        <f aca="false">IF(OR($B199="",$C199="",COUNTIF($D$4:$G$4,$B199)=0),"",IF($B199=K$4,$C199*정산!$C$4*(SUM($N199:$Q199)-Q199),-$C199*정산!$C$4*Q199))</f>
        <v/>
      </c>
      <c r="L199" s="26" t="str">
        <f aca="false">IF(AND($B199="",$C199=""),"",IF($B199="","승자 선택!",IF($C199="","점수 입력!",IF(COUNTIF($D$4:$G$4,$B199)=0,"승자 이름?",IF(COUNTIF(D199:G199,"쉼")&lt;&gt;1,"쉼 1명 표시!",IF(INDEX(D199:G199,MATCH($B199,$D$4:$G$4,0))="쉼","승자가 쉼?","✓"))))))</f>
        <v/>
      </c>
      <c r="M199" s="27"/>
      <c r="N199" s="21" t="n">
        <f aca="false">IF(D199="쉼",0,IF(D199="",1,IFERROR(VALUE(LEFT(D199,1)),1)))</f>
        <v>1</v>
      </c>
      <c r="O199" s="21" t="n">
        <f aca="false">IF(E199="쉼",0,IF(E199="",1,IFERROR(VALUE(LEFT(E199,1)),1)))</f>
        <v>1</v>
      </c>
      <c r="P199" s="21" t="n">
        <f aca="false">IF(F199="쉼",0,IF(F199="",1,IFERROR(VALUE(LEFT(F199,1)),1)))</f>
        <v>1</v>
      </c>
      <c r="Q199" s="21" t="n">
        <f aca="false">IF(G199="쉼",0,IF(G199="",1,IFERROR(VALUE(LEFT(G199,1)),1)))</f>
        <v>1</v>
      </c>
    </row>
    <row r="200" customFormat="false" ht="15" hidden="false" customHeight="false" outlineLevel="0" collapsed="false">
      <c r="A200" s="22" t="n">
        <v>196</v>
      </c>
      <c r="B200" s="23"/>
      <c r="C200" s="23"/>
      <c r="D200" s="24"/>
      <c r="E200" s="24"/>
      <c r="F200" s="24"/>
      <c r="G200" s="24"/>
      <c r="H200" s="25" t="str">
        <f aca="false">IF(OR($B200="",$C200="",COUNTIF($D$4:$G$4,$B200)=0),"",IF($B200=H$4,$C200*정산!$C$4*(SUM($N200:$Q200)-N200),-$C200*정산!$C$4*N200))</f>
        <v/>
      </c>
      <c r="I200" s="25" t="str">
        <f aca="false">IF(OR($B200="",$C200="",COUNTIF($D$4:$G$4,$B200)=0),"",IF($B200=I$4,$C200*정산!$C$4*(SUM($N200:$Q200)-O200),-$C200*정산!$C$4*O200))</f>
        <v/>
      </c>
      <c r="J200" s="25" t="str">
        <f aca="false">IF(OR($B200="",$C200="",COUNTIF($D$4:$G$4,$B200)=0),"",IF($B200=J$4,$C200*정산!$C$4*(SUM($N200:$Q200)-P200),-$C200*정산!$C$4*P200))</f>
        <v/>
      </c>
      <c r="K200" s="25" t="str">
        <f aca="false">IF(OR($B200="",$C200="",COUNTIF($D$4:$G$4,$B200)=0),"",IF($B200=K$4,$C200*정산!$C$4*(SUM($N200:$Q200)-Q200),-$C200*정산!$C$4*Q200))</f>
        <v/>
      </c>
      <c r="L200" s="26" t="str">
        <f aca="false">IF(AND($B200="",$C200=""),"",IF($B200="","승자 선택!",IF($C200="","점수 입력!",IF(COUNTIF($D$4:$G$4,$B200)=0,"승자 이름?",IF(COUNTIF(D200:G200,"쉼")&lt;&gt;1,"쉼 1명 표시!",IF(INDEX(D200:G200,MATCH($B200,$D$4:$G$4,0))="쉼","승자가 쉼?","✓"))))))</f>
        <v/>
      </c>
      <c r="M200" s="27"/>
      <c r="N200" s="21" t="n">
        <f aca="false">IF(D200="쉼",0,IF(D200="",1,IFERROR(VALUE(LEFT(D200,1)),1)))</f>
        <v>1</v>
      </c>
      <c r="O200" s="21" t="n">
        <f aca="false">IF(E200="쉼",0,IF(E200="",1,IFERROR(VALUE(LEFT(E200,1)),1)))</f>
        <v>1</v>
      </c>
      <c r="P200" s="21" t="n">
        <f aca="false">IF(F200="쉼",0,IF(F200="",1,IFERROR(VALUE(LEFT(F200,1)),1)))</f>
        <v>1</v>
      </c>
      <c r="Q200" s="21" t="n">
        <f aca="false">IF(G200="쉼",0,IF(G200="",1,IFERROR(VALUE(LEFT(G200,1)),1)))</f>
        <v>1</v>
      </c>
    </row>
    <row r="201" customFormat="false" ht="15" hidden="false" customHeight="false" outlineLevel="0" collapsed="false">
      <c r="A201" s="22" t="n">
        <v>197</v>
      </c>
      <c r="B201" s="23"/>
      <c r="C201" s="23"/>
      <c r="D201" s="24"/>
      <c r="E201" s="24"/>
      <c r="F201" s="24"/>
      <c r="G201" s="24"/>
      <c r="H201" s="25" t="str">
        <f aca="false">IF(OR($B201="",$C201="",COUNTIF($D$4:$G$4,$B201)=0),"",IF($B201=H$4,$C201*정산!$C$4*(SUM($N201:$Q201)-N201),-$C201*정산!$C$4*N201))</f>
        <v/>
      </c>
      <c r="I201" s="25" t="str">
        <f aca="false">IF(OR($B201="",$C201="",COUNTIF($D$4:$G$4,$B201)=0),"",IF($B201=I$4,$C201*정산!$C$4*(SUM($N201:$Q201)-O201),-$C201*정산!$C$4*O201))</f>
        <v/>
      </c>
      <c r="J201" s="25" t="str">
        <f aca="false">IF(OR($B201="",$C201="",COUNTIF($D$4:$G$4,$B201)=0),"",IF($B201=J$4,$C201*정산!$C$4*(SUM($N201:$Q201)-P201),-$C201*정산!$C$4*P201))</f>
        <v/>
      </c>
      <c r="K201" s="25" t="str">
        <f aca="false">IF(OR($B201="",$C201="",COUNTIF($D$4:$G$4,$B201)=0),"",IF($B201=K$4,$C201*정산!$C$4*(SUM($N201:$Q201)-Q201),-$C201*정산!$C$4*Q201))</f>
        <v/>
      </c>
      <c r="L201" s="26" t="str">
        <f aca="false">IF(AND($B201="",$C201=""),"",IF($B201="","승자 선택!",IF($C201="","점수 입력!",IF(COUNTIF($D$4:$G$4,$B201)=0,"승자 이름?",IF(COUNTIF(D201:G201,"쉼")&lt;&gt;1,"쉼 1명 표시!",IF(INDEX(D201:G201,MATCH($B201,$D$4:$G$4,0))="쉼","승자가 쉼?","✓"))))))</f>
        <v/>
      </c>
      <c r="M201" s="27"/>
      <c r="N201" s="21" t="n">
        <f aca="false">IF(D201="쉼",0,IF(D201="",1,IFERROR(VALUE(LEFT(D201,1)),1)))</f>
        <v>1</v>
      </c>
      <c r="O201" s="21" t="n">
        <f aca="false">IF(E201="쉼",0,IF(E201="",1,IFERROR(VALUE(LEFT(E201,1)),1)))</f>
        <v>1</v>
      </c>
      <c r="P201" s="21" t="n">
        <f aca="false">IF(F201="쉼",0,IF(F201="",1,IFERROR(VALUE(LEFT(F201,1)),1)))</f>
        <v>1</v>
      </c>
      <c r="Q201" s="21" t="n">
        <f aca="false">IF(G201="쉼",0,IF(G201="",1,IFERROR(VALUE(LEFT(G201,1)),1)))</f>
        <v>1</v>
      </c>
    </row>
    <row r="202" customFormat="false" ht="15" hidden="false" customHeight="false" outlineLevel="0" collapsed="false">
      <c r="A202" s="22" t="n">
        <v>198</v>
      </c>
      <c r="B202" s="23"/>
      <c r="C202" s="23"/>
      <c r="D202" s="24"/>
      <c r="E202" s="24"/>
      <c r="F202" s="24"/>
      <c r="G202" s="24"/>
      <c r="H202" s="25" t="str">
        <f aca="false">IF(OR($B202="",$C202="",COUNTIF($D$4:$G$4,$B202)=0),"",IF($B202=H$4,$C202*정산!$C$4*(SUM($N202:$Q202)-N202),-$C202*정산!$C$4*N202))</f>
        <v/>
      </c>
      <c r="I202" s="25" t="str">
        <f aca="false">IF(OR($B202="",$C202="",COUNTIF($D$4:$G$4,$B202)=0),"",IF($B202=I$4,$C202*정산!$C$4*(SUM($N202:$Q202)-O202),-$C202*정산!$C$4*O202))</f>
        <v/>
      </c>
      <c r="J202" s="25" t="str">
        <f aca="false">IF(OR($B202="",$C202="",COUNTIF($D$4:$G$4,$B202)=0),"",IF($B202=J$4,$C202*정산!$C$4*(SUM($N202:$Q202)-P202),-$C202*정산!$C$4*P202))</f>
        <v/>
      </c>
      <c r="K202" s="25" t="str">
        <f aca="false">IF(OR($B202="",$C202="",COUNTIF($D$4:$G$4,$B202)=0),"",IF($B202=K$4,$C202*정산!$C$4*(SUM($N202:$Q202)-Q202),-$C202*정산!$C$4*Q202))</f>
        <v/>
      </c>
      <c r="L202" s="26" t="str">
        <f aca="false">IF(AND($B202="",$C202=""),"",IF($B202="","승자 선택!",IF($C202="","점수 입력!",IF(COUNTIF($D$4:$G$4,$B202)=0,"승자 이름?",IF(COUNTIF(D202:G202,"쉼")&lt;&gt;1,"쉼 1명 표시!",IF(INDEX(D202:G202,MATCH($B202,$D$4:$G$4,0))="쉼","승자가 쉼?","✓"))))))</f>
        <v/>
      </c>
      <c r="M202" s="27"/>
      <c r="N202" s="21" t="n">
        <f aca="false">IF(D202="쉼",0,IF(D202="",1,IFERROR(VALUE(LEFT(D202,1)),1)))</f>
        <v>1</v>
      </c>
      <c r="O202" s="21" t="n">
        <f aca="false">IF(E202="쉼",0,IF(E202="",1,IFERROR(VALUE(LEFT(E202,1)),1)))</f>
        <v>1</v>
      </c>
      <c r="P202" s="21" t="n">
        <f aca="false">IF(F202="쉼",0,IF(F202="",1,IFERROR(VALUE(LEFT(F202,1)),1)))</f>
        <v>1</v>
      </c>
      <c r="Q202" s="21" t="n">
        <f aca="false">IF(G202="쉼",0,IF(G202="",1,IFERROR(VALUE(LEFT(G202,1)),1)))</f>
        <v>1</v>
      </c>
    </row>
    <row r="203" customFormat="false" ht="15" hidden="false" customHeight="false" outlineLevel="0" collapsed="false">
      <c r="A203" s="22" t="n">
        <v>199</v>
      </c>
      <c r="B203" s="23"/>
      <c r="C203" s="23"/>
      <c r="D203" s="24"/>
      <c r="E203" s="24"/>
      <c r="F203" s="24"/>
      <c r="G203" s="24"/>
      <c r="H203" s="25" t="str">
        <f aca="false">IF(OR($B203="",$C203="",COUNTIF($D$4:$G$4,$B203)=0),"",IF($B203=H$4,$C203*정산!$C$4*(SUM($N203:$Q203)-N203),-$C203*정산!$C$4*N203))</f>
        <v/>
      </c>
      <c r="I203" s="25" t="str">
        <f aca="false">IF(OR($B203="",$C203="",COUNTIF($D$4:$G$4,$B203)=0),"",IF($B203=I$4,$C203*정산!$C$4*(SUM($N203:$Q203)-O203),-$C203*정산!$C$4*O203))</f>
        <v/>
      </c>
      <c r="J203" s="25" t="str">
        <f aca="false">IF(OR($B203="",$C203="",COUNTIF($D$4:$G$4,$B203)=0),"",IF($B203=J$4,$C203*정산!$C$4*(SUM($N203:$Q203)-P203),-$C203*정산!$C$4*P203))</f>
        <v/>
      </c>
      <c r="K203" s="25" t="str">
        <f aca="false">IF(OR($B203="",$C203="",COUNTIF($D$4:$G$4,$B203)=0),"",IF($B203=K$4,$C203*정산!$C$4*(SUM($N203:$Q203)-Q203),-$C203*정산!$C$4*Q203))</f>
        <v/>
      </c>
      <c r="L203" s="26" t="str">
        <f aca="false">IF(AND($B203="",$C203=""),"",IF($B203="","승자 선택!",IF($C203="","점수 입력!",IF(COUNTIF($D$4:$G$4,$B203)=0,"승자 이름?",IF(COUNTIF(D203:G203,"쉼")&lt;&gt;1,"쉼 1명 표시!",IF(INDEX(D203:G203,MATCH($B203,$D$4:$G$4,0))="쉼","승자가 쉼?","✓"))))))</f>
        <v/>
      </c>
      <c r="M203" s="27"/>
      <c r="N203" s="21" t="n">
        <f aca="false">IF(D203="쉼",0,IF(D203="",1,IFERROR(VALUE(LEFT(D203,1)),1)))</f>
        <v>1</v>
      </c>
      <c r="O203" s="21" t="n">
        <f aca="false">IF(E203="쉼",0,IF(E203="",1,IFERROR(VALUE(LEFT(E203,1)),1)))</f>
        <v>1</v>
      </c>
      <c r="P203" s="21" t="n">
        <f aca="false">IF(F203="쉼",0,IF(F203="",1,IFERROR(VALUE(LEFT(F203,1)),1)))</f>
        <v>1</v>
      </c>
      <c r="Q203" s="21" t="n">
        <f aca="false">IF(G203="쉼",0,IF(G203="",1,IFERROR(VALUE(LEFT(G203,1)),1)))</f>
        <v>1</v>
      </c>
    </row>
    <row r="204" customFormat="false" ht="15" hidden="false" customHeight="false" outlineLevel="0" collapsed="false">
      <c r="A204" s="22" t="n">
        <v>200</v>
      </c>
      <c r="B204" s="23"/>
      <c r="C204" s="23"/>
      <c r="D204" s="24"/>
      <c r="E204" s="24"/>
      <c r="F204" s="24"/>
      <c r="G204" s="24"/>
      <c r="H204" s="25" t="str">
        <f aca="false">IF(OR($B204="",$C204="",COUNTIF($D$4:$G$4,$B204)=0),"",IF($B204=H$4,$C204*정산!$C$4*(SUM($N204:$Q204)-N204),-$C204*정산!$C$4*N204))</f>
        <v/>
      </c>
      <c r="I204" s="25" t="str">
        <f aca="false">IF(OR($B204="",$C204="",COUNTIF($D$4:$G$4,$B204)=0),"",IF($B204=I$4,$C204*정산!$C$4*(SUM($N204:$Q204)-O204),-$C204*정산!$C$4*O204))</f>
        <v/>
      </c>
      <c r="J204" s="25" t="str">
        <f aca="false">IF(OR($B204="",$C204="",COUNTIF($D$4:$G$4,$B204)=0),"",IF($B204=J$4,$C204*정산!$C$4*(SUM($N204:$Q204)-P204),-$C204*정산!$C$4*P204))</f>
        <v/>
      </c>
      <c r="K204" s="25" t="str">
        <f aca="false">IF(OR($B204="",$C204="",COUNTIF($D$4:$G$4,$B204)=0),"",IF($B204=K$4,$C204*정산!$C$4*(SUM($N204:$Q204)-Q204),-$C204*정산!$C$4*Q204))</f>
        <v/>
      </c>
      <c r="L204" s="26" t="str">
        <f aca="false">IF(AND($B204="",$C204=""),"",IF($B204="","승자 선택!",IF($C204="","점수 입력!",IF(COUNTIF($D$4:$G$4,$B204)=0,"승자 이름?",IF(COUNTIF(D204:G204,"쉼")&lt;&gt;1,"쉼 1명 표시!",IF(INDEX(D204:G204,MATCH($B204,$D$4:$G$4,0))="쉼","승자가 쉼?","✓"))))))</f>
        <v/>
      </c>
      <c r="M204" s="27"/>
      <c r="N204" s="21" t="n">
        <f aca="false">IF(D204="쉼",0,IF(D204="",1,IFERROR(VALUE(LEFT(D204,1)),1)))</f>
        <v>1</v>
      </c>
      <c r="O204" s="21" t="n">
        <f aca="false">IF(E204="쉼",0,IF(E204="",1,IFERROR(VALUE(LEFT(E204,1)),1)))</f>
        <v>1</v>
      </c>
      <c r="P204" s="21" t="n">
        <f aca="false">IF(F204="쉼",0,IF(F204="",1,IFERROR(VALUE(LEFT(F204,1)),1)))</f>
        <v>1</v>
      </c>
      <c r="Q204" s="21" t="n">
        <f aca="false">IF(G204="쉼",0,IF(G204="",1,IFERROR(VALUE(LEFT(G204,1)),1)))</f>
        <v>1</v>
      </c>
    </row>
  </sheetData>
  <mergeCells count="7">
    <mergeCell ref="A3:A4"/>
    <mergeCell ref="B3:B4"/>
    <mergeCell ref="C3:C4"/>
    <mergeCell ref="D3:G3"/>
    <mergeCell ref="H3:K3"/>
    <mergeCell ref="L3:L4"/>
    <mergeCell ref="M3:M4"/>
  </mergeCells>
  <conditionalFormatting sqref="L5:L204">
    <cfRule type="expression" priority="2" aboveAverage="0" equalAverage="0" bottom="0" percent="0" rank="0" text="" dxfId="2">
      <formula>L5="✓"</formula>
    </cfRule>
  </conditionalFormatting>
  <conditionalFormatting sqref="D5:G204">
    <cfRule type="expression" priority="3" aboveAverage="0" equalAverage="0" bottom="0" percent="0" rank="0" text="" dxfId="3">
      <formula>D5="쉼"</formula>
    </cfRule>
  </conditionalFormatting>
  <conditionalFormatting sqref="H5:K204">
    <cfRule type="expression" priority="4" aboveAverage="0" equalAverage="0" bottom="0" percent="0" rank="0" text="" dxfId="4">
      <formula>AND($B5&lt;&gt;"",$B5=H$4)</formula>
    </cfRule>
  </conditionalFormatting>
  <dataValidations count="3">
    <dataValidation allowBlank="true" error="목록에서 승자를 골라주세요." errorStyle="stop" errorTitle="승자" operator="between" showDropDown="false" showErrorMessage="true" showInputMessage="false" sqref="B5:B204" type="list">
      <formula1>정산!$B$7:$B$10</formula1>
      <formula2>0</formula2>
    </dataValidation>
    <dataValidation allowBlank="true" error="0 이상의 정수로 입력해주세요." errorStyle="stop" errorTitle="점수" operator="greaterThanOrEqual" showDropDown="false" showErrorMessage="true" showInputMessage="false" sqref="C5:C204" type="whole">
      <formula1>0</formula1>
      <formula2>0</formula2>
    </dataValidation>
    <dataValidation allowBlank="true" error="빈칸(보통), 2배, 4배, 8배, 쉼 중에서 골라주세요." errorStyle="stop" errorTitle="박/쉼" operator="between" showDropDown="false" showErrorMessage="true" showInputMessage="false" sqref="D5:G204" type="list">
      <formula1>"2배,4배,8배,쉼"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7" min="6" style="0" width="12"/>
  </cols>
  <sheetData>
    <row r="1" customFormat="false" ht="20.85" hidden="false" customHeight="false" outlineLevel="0" collapsed="false">
      <c r="A1" s="20" t="s">
        <v>45</v>
      </c>
    </row>
    <row r="2" customFormat="false" ht="15" hidden="false" customHeight="false" outlineLevel="0" collapsed="false">
      <c r="A2" s="2" t="s">
        <v>46</v>
      </c>
    </row>
    <row r="4" customFormat="false" ht="21.75" hidden="false" customHeight="true" outlineLevel="0" collapsed="false">
      <c r="A4" s="6" t="s">
        <v>4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51</v>
      </c>
      <c r="G4" s="6" t="s">
        <v>39</v>
      </c>
    </row>
    <row r="5" customFormat="false" ht="15" hidden="false" customHeight="false" outlineLevel="0" collapsed="false">
      <c r="A5" s="22" t="n">
        <v>1</v>
      </c>
      <c r="B5" s="24"/>
      <c r="C5" s="28"/>
      <c r="D5" s="24"/>
      <c r="E5" s="24"/>
      <c r="F5" s="29"/>
      <c r="G5" s="26" t="str">
        <f aca="false">IF(AND(D5="",E5="",F5=""),"",IF(OR(D5="",E5="",F5=""),"빈칸 확인!",IF(D5=E5,"같은 사람?",IF(OR(COUNTIF(정산!$B$7:$B$10,D5)=0,COUNTIF(정산!$B$7:$B$10,E5)=0),"이름 확인!","✓"))))</f>
        <v/>
      </c>
    </row>
    <row r="6" customFormat="false" ht="15" hidden="false" customHeight="false" outlineLevel="0" collapsed="false">
      <c r="A6" s="22" t="n">
        <v>2</v>
      </c>
      <c r="B6" s="24"/>
      <c r="C6" s="28"/>
      <c r="D6" s="24"/>
      <c r="E6" s="24"/>
      <c r="F6" s="29"/>
      <c r="G6" s="26" t="str">
        <f aca="false">IF(AND(D6="",E6="",F6=""),"",IF(OR(D6="",E6="",F6=""),"빈칸 확인!",IF(D6=E6,"같은 사람?",IF(OR(COUNTIF(정산!$B$7:$B$10,D6)=0,COUNTIF(정산!$B$7:$B$10,E6)=0),"이름 확인!","✓"))))</f>
        <v/>
      </c>
    </row>
    <row r="7" customFormat="false" ht="15" hidden="false" customHeight="false" outlineLevel="0" collapsed="false">
      <c r="A7" s="22" t="n">
        <v>3</v>
      </c>
      <c r="B7" s="24"/>
      <c r="C7" s="28"/>
      <c r="D7" s="24"/>
      <c r="E7" s="24"/>
      <c r="F7" s="29"/>
      <c r="G7" s="26" t="str">
        <f aca="false">IF(AND(D7="",E7="",F7=""),"",IF(OR(D7="",E7="",F7=""),"빈칸 확인!",IF(D7=E7,"같은 사람?",IF(OR(COUNTIF(정산!$B$7:$B$10,D7)=0,COUNTIF(정산!$B$7:$B$10,E7)=0),"이름 확인!","✓"))))</f>
        <v/>
      </c>
    </row>
    <row r="8" customFormat="false" ht="15" hidden="false" customHeight="false" outlineLevel="0" collapsed="false">
      <c r="A8" s="22" t="n">
        <v>4</v>
      </c>
      <c r="B8" s="24"/>
      <c r="C8" s="28"/>
      <c r="D8" s="24"/>
      <c r="E8" s="24"/>
      <c r="F8" s="29"/>
      <c r="G8" s="26" t="str">
        <f aca="false">IF(AND(D8="",E8="",F8=""),"",IF(OR(D8="",E8="",F8=""),"빈칸 확인!",IF(D8=E8,"같은 사람?",IF(OR(COUNTIF(정산!$B$7:$B$10,D8)=0,COUNTIF(정산!$B$7:$B$10,E8)=0),"이름 확인!","✓"))))</f>
        <v/>
      </c>
    </row>
    <row r="9" customFormat="false" ht="15" hidden="false" customHeight="false" outlineLevel="0" collapsed="false">
      <c r="A9" s="22" t="n">
        <v>5</v>
      </c>
      <c r="B9" s="24"/>
      <c r="C9" s="28"/>
      <c r="D9" s="24"/>
      <c r="E9" s="24"/>
      <c r="F9" s="29"/>
      <c r="G9" s="26" t="str">
        <f aca="false">IF(AND(D9="",E9="",F9=""),"",IF(OR(D9="",E9="",F9=""),"빈칸 확인!",IF(D9=E9,"같은 사람?",IF(OR(COUNTIF(정산!$B$7:$B$10,D9)=0,COUNTIF(정산!$B$7:$B$10,E9)=0),"이름 확인!","✓"))))</f>
        <v/>
      </c>
    </row>
    <row r="10" customFormat="false" ht="15" hidden="false" customHeight="false" outlineLevel="0" collapsed="false">
      <c r="A10" s="22" t="n">
        <v>6</v>
      </c>
      <c r="B10" s="24"/>
      <c r="C10" s="28"/>
      <c r="D10" s="24"/>
      <c r="E10" s="24"/>
      <c r="F10" s="29"/>
      <c r="G10" s="26" t="str">
        <f aca="false">IF(AND(D10="",E10="",F10=""),"",IF(OR(D10="",E10="",F10=""),"빈칸 확인!",IF(D10=E10,"같은 사람?",IF(OR(COUNTIF(정산!$B$7:$B$10,D10)=0,COUNTIF(정산!$B$7:$B$10,E10)=0),"이름 확인!","✓"))))</f>
        <v/>
      </c>
    </row>
    <row r="11" customFormat="false" ht="15" hidden="false" customHeight="false" outlineLevel="0" collapsed="false">
      <c r="A11" s="22" t="n">
        <v>7</v>
      </c>
      <c r="B11" s="24"/>
      <c r="C11" s="28"/>
      <c r="D11" s="24"/>
      <c r="E11" s="24"/>
      <c r="F11" s="29"/>
      <c r="G11" s="26" t="str">
        <f aca="false">IF(AND(D11="",E11="",F11=""),"",IF(OR(D11="",E11="",F11=""),"빈칸 확인!",IF(D11=E11,"같은 사람?",IF(OR(COUNTIF(정산!$B$7:$B$10,D11)=0,COUNTIF(정산!$B$7:$B$10,E11)=0),"이름 확인!","✓"))))</f>
        <v/>
      </c>
    </row>
    <row r="12" customFormat="false" ht="15" hidden="false" customHeight="false" outlineLevel="0" collapsed="false">
      <c r="A12" s="22" t="n">
        <v>8</v>
      </c>
      <c r="B12" s="24"/>
      <c r="C12" s="28"/>
      <c r="D12" s="24"/>
      <c r="E12" s="24"/>
      <c r="F12" s="29"/>
      <c r="G12" s="26" t="str">
        <f aca="false">IF(AND(D12="",E12="",F12=""),"",IF(OR(D12="",E12="",F12=""),"빈칸 확인!",IF(D12=E12,"같은 사람?",IF(OR(COUNTIF(정산!$B$7:$B$10,D12)=0,COUNTIF(정산!$B$7:$B$10,E12)=0),"이름 확인!","✓"))))</f>
        <v/>
      </c>
    </row>
    <row r="13" customFormat="false" ht="15" hidden="false" customHeight="false" outlineLevel="0" collapsed="false">
      <c r="A13" s="22" t="n">
        <v>9</v>
      </c>
      <c r="B13" s="24"/>
      <c r="C13" s="28"/>
      <c r="D13" s="24"/>
      <c r="E13" s="24"/>
      <c r="F13" s="29"/>
      <c r="G13" s="26" t="str">
        <f aca="false">IF(AND(D13="",E13="",F13=""),"",IF(OR(D13="",E13="",F13=""),"빈칸 확인!",IF(D13=E13,"같은 사람?",IF(OR(COUNTIF(정산!$B$7:$B$10,D13)=0,COUNTIF(정산!$B$7:$B$10,E13)=0),"이름 확인!","✓"))))</f>
        <v/>
      </c>
    </row>
    <row r="14" customFormat="false" ht="15" hidden="false" customHeight="false" outlineLevel="0" collapsed="false">
      <c r="A14" s="22" t="n">
        <v>10</v>
      </c>
      <c r="B14" s="24"/>
      <c r="C14" s="28"/>
      <c r="D14" s="24"/>
      <c r="E14" s="24"/>
      <c r="F14" s="29"/>
      <c r="G14" s="26" t="str">
        <f aca="false">IF(AND(D14="",E14="",F14=""),"",IF(OR(D14="",E14="",F14=""),"빈칸 확인!",IF(D14=E14,"같은 사람?",IF(OR(COUNTIF(정산!$B$7:$B$10,D14)=0,COUNTIF(정산!$B$7:$B$10,E14)=0),"이름 확인!","✓"))))</f>
        <v/>
      </c>
    </row>
    <row r="15" customFormat="false" ht="15" hidden="false" customHeight="false" outlineLevel="0" collapsed="false">
      <c r="A15" s="22" t="n">
        <v>11</v>
      </c>
      <c r="B15" s="24"/>
      <c r="C15" s="28"/>
      <c r="D15" s="24"/>
      <c r="E15" s="24"/>
      <c r="F15" s="29"/>
      <c r="G15" s="26" t="str">
        <f aca="false">IF(AND(D15="",E15="",F15=""),"",IF(OR(D15="",E15="",F15=""),"빈칸 확인!",IF(D15=E15,"같은 사람?",IF(OR(COUNTIF(정산!$B$7:$B$10,D15)=0,COUNTIF(정산!$B$7:$B$10,E15)=0),"이름 확인!","✓"))))</f>
        <v/>
      </c>
    </row>
    <row r="16" customFormat="false" ht="15" hidden="false" customHeight="false" outlineLevel="0" collapsed="false">
      <c r="A16" s="22" t="n">
        <v>12</v>
      </c>
      <c r="B16" s="24"/>
      <c r="C16" s="28"/>
      <c r="D16" s="24"/>
      <c r="E16" s="24"/>
      <c r="F16" s="29"/>
      <c r="G16" s="26" t="str">
        <f aca="false">IF(AND(D16="",E16="",F16=""),"",IF(OR(D16="",E16="",F16=""),"빈칸 확인!",IF(D16=E16,"같은 사람?",IF(OR(COUNTIF(정산!$B$7:$B$10,D16)=0,COUNTIF(정산!$B$7:$B$10,E16)=0),"이름 확인!","✓"))))</f>
        <v/>
      </c>
    </row>
    <row r="17" customFormat="false" ht="15" hidden="false" customHeight="false" outlineLevel="0" collapsed="false">
      <c r="A17" s="22" t="n">
        <v>13</v>
      </c>
      <c r="B17" s="24"/>
      <c r="C17" s="28"/>
      <c r="D17" s="24"/>
      <c r="E17" s="24"/>
      <c r="F17" s="29"/>
      <c r="G17" s="26" t="str">
        <f aca="false">IF(AND(D17="",E17="",F17=""),"",IF(OR(D17="",E17="",F17=""),"빈칸 확인!",IF(D17=E17,"같은 사람?",IF(OR(COUNTIF(정산!$B$7:$B$10,D17)=0,COUNTIF(정산!$B$7:$B$10,E17)=0),"이름 확인!","✓"))))</f>
        <v/>
      </c>
    </row>
    <row r="18" customFormat="false" ht="15" hidden="false" customHeight="false" outlineLevel="0" collapsed="false">
      <c r="A18" s="22" t="n">
        <v>14</v>
      </c>
      <c r="B18" s="24"/>
      <c r="C18" s="28"/>
      <c r="D18" s="24"/>
      <c r="E18" s="24"/>
      <c r="F18" s="29"/>
      <c r="G18" s="26" t="str">
        <f aca="false">IF(AND(D18="",E18="",F18=""),"",IF(OR(D18="",E18="",F18=""),"빈칸 확인!",IF(D18=E18,"같은 사람?",IF(OR(COUNTIF(정산!$B$7:$B$10,D18)=0,COUNTIF(정산!$B$7:$B$10,E18)=0),"이름 확인!","✓"))))</f>
        <v/>
      </c>
    </row>
    <row r="19" customFormat="false" ht="15" hidden="false" customHeight="false" outlineLevel="0" collapsed="false">
      <c r="A19" s="22" t="n">
        <v>15</v>
      </c>
      <c r="B19" s="24"/>
      <c r="C19" s="28"/>
      <c r="D19" s="24"/>
      <c r="E19" s="24"/>
      <c r="F19" s="29"/>
      <c r="G19" s="26" t="str">
        <f aca="false">IF(AND(D19="",E19="",F19=""),"",IF(OR(D19="",E19="",F19=""),"빈칸 확인!",IF(D19=E19,"같은 사람?",IF(OR(COUNTIF(정산!$B$7:$B$10,D19)=0,COUNTIF(정산!$B$7:$B$10,E19)=0),"이름 확인!","✓"))))</f>
        <v/>
      </c>
    </row>
    <row r="20" customFormat="false" ht="15" hidden="false" customHeight="false" outlineLevel="0" collapsed="false">
      <c r="A20" s="22" t="n">
        <v>16</v>
      </c>
      <c r="B20" s="24"/>
      <c r="C20" s="28"/>
      <c r="D20" s="24"/>
      <c r="E20" s="24"/>
      <c r="F20" s="29"/>
      <c r="G20" s="26" t="str">
        <f aca="false">IF(AND(D20="",E20="",F20=""),"",IF(OR(D20="",E20="",F20=""),"빈칸 확인!",IF(D20=E20,"같은 사람?",IF(OR(COUNTIF(정산!$B$7:$B$10,D20)=0,COUNTIF(정산!$B$7:$B$10,E20)=0),"이름 확인!","✓"))))</f>
        <v/>
      </c>
    </row>
    <row r="21" customFormat="false" ht="15" hidden="false" customHeight="false" outlineLevel="0" collapsed="false">
      <c r="A21" s="22" t="n">
        <v>17</v>
      </c>
      <c r="B21" s="24"/>
      <c r="C21" s="28"/>
      <c r="D21" s="24"/>
      <c r="E21" s="24"/>
      <c r="F21" s="29"/>
      <c r="G21" s="26" t="str">
        <f aca="false">IF(AND(D21="",E21="",F21=""),"",IF(OR(D21="",E21="",F21=""),"빈칸 확인!",IF(D21=E21,"같은 사람?",IF(OR(COUNTIF(정산!$B$7:$B$10,D21)=0,COUNTIF(정산!$B$7:$B$10,E21)=0),"이름 확인!","✓"))))</f>
        <v/>
      </c>
    </row>
    <row r="22" customFormat="false" ht="15" hidden="false" customHeight="false" outlineLevel="0" collapsed="false">
      <c r="A22" s="22" t="n">
        <v>18</v>
      </c>
      <c r="B22" s="24"/>
      <c r="C22" s="28"/>
      <c r="D22" s="24"/>
      <c r="E22" s="24"/>
      <c r="F22" s="29"/>
      <c r="G22" s="26" t="str">
        <f aca="false">IF(AND(D22="",E22="",F22=""),"",IF(OR(D22="",E22="",F22=""),"빈칸 확인!",IF(D22=E22,"같은 사람?",IF(OR(COUNTIF(정산!$B$7:$B$10,D22)=0,COUNTIF(정산!$B$7:$B$10,E22)=0),"이름 확인!","✓"))))</f>
        <v/>
      </c>
    </row>
    <row r="23" customFormat="false" ht="15" hidden="false" customHeight="false" outlineLevel="0" collapsed="false">
      <c r="A23" s="22" t="n">
        <v>19</v>
      </c>
      <c r="B23" s="24"/>
      <c r="C23" s="28"/>
      <c r="D23" s="24"/>
      <c r="E23" s="24"/>
      <c r="F23" s="29"/>
      <c r="G23" s="26" t="str">
        <f aca="false">IF(AND(D23="",E23="",F23=""),"",IF(OR(D23="",E23="",F23=""),"빈칸 확인!",IF(D23=E23,"같은 사람?",IF(OR(COUNTIF(정산!$B$7:$B$10,D23)=0,COUNTIF(정산!$B$7:$B$10,E23)=0),"이름 확인!","✓"))))</f>
        <v/>
      </c>
    </row>
    <row r="24" customFormat="false" ht="15" hidden="false" customHeight="false" outlineLevel="0" collapsed="false">
      <c r="A24" s="22" t="n">
        <v>20</v>
      </c>
      <c r="B24" s="24"/>
      <c r="C24" s="28"/>
      <c r="D24" s="24"/>
      <c r="E24" s="24"/>
      <c r="F24" s="29"/>
      <c r="G24" s="26" t="str">
        <f aca="false">IF(AND(D24="",E24="",F24=""),"",IF(OR(D24="",E24="",F24=""),"빈칸 확인!",IF(D24=E24,"같은 사람?",IF(OR(COUNTIF(정산!$B$7:$B$10,D24)=0,COUNTIF(정산!$B$7:$B$10,E24)=0),"이름 확인!","✓"))))</f>
        <v/>
      </c>
    </row>
    <row r="25" customFormat="false" ht="15" hidden="false" customHeight="false" outlineLevel="0" collapsed="false">
      <c r="A25" s="22" t="n">
        <v>21</v>
      </c>
      <c r="B25" s="24"/>
      <c r="C25" s="28"/>
      <c r="D25" s="24"/>
      <c r="E25" s="24"/>
      <c r="F25" s="29"/>
      <c r="G25" s="26" t="str">
        <f aca="false">IF(AND(D25="",E25="",F25=""),"",IF(OR(D25="",E25="",F25=""),"빈칸 확인!",IF(D25=E25,"같은 사람?",IF(OR(COUNTIF(정산!$B$7:$B$10,D25)=0,COUNTIF(정산!$B$7:$B$10,E25)=0),"이름 확인!","✓"))))</f>
        <v/>
      </c>
    </row>
    <row r="26" customFormat="false" ht="15" hidden="false" customHeight="false" outlineLevel="0" collapsed="false">
      <c r="A26" s="22" t="n">
        <v>22</v>
      </c>
      <c r="B26" s="24"/>
      <c r="C26" s="28"/>
      <c r="D26" s="24"/>
      <c r="E26" s="24"/>
      <c r="F26" s="29"/>
      <c r="G26" s="26" t="str">
        <f aca="false">IF(AND(D26="",E26="",F26=""),"",IF(OR(D26="",E26="",F26=""),"빈칸 확인!",IF(D26=E26,"같은 사람?",IF(OR(COUNTIF(정산!$B$7:$B$10,D26)=0,COUNTIF(정산!$B$7:$B$10,E26)=0),"이름 확인!","✓"))))</f>
        <v/>
      </c>
    </row>
    <row r="27" customFormat="false" ht="15" hidden="false" customHeight="false" outlineLevel="0" collapsed="false">
      <c r="A27" s="22" t="n">
        <v>23</v>
      </c>
      <c r="B27" s="24"/>
      <c r="C27" s="28"/>
      <c r="D27" s="24"/>
      <c r="E27" s="24"/>
      <c r="F27" s="29"/>
      <c r="G27" s="26" t="str">
        <f aca="false">IF(AND(D27="",E27="",F27=""),"",IF(OR(D27="",E27="",F27=""),"빈칸 확인!",IF(D27=E27,"같은 사람?",IF(OR(COUNTIF(정산!$B$7:$B$10,D27)=0,COUNTIF(정산!$B$7:$B$10,E27)=0),"이름 확인!","✓"))))</f>
        <v/>
      </c>
    </row>
    <row r="28" customFormat="false" ht="15" hidden="false" customHeight="false" outlineLevel="0" collapsed="false">
      <c r="A28" s="22" t="n">
        <v>24</v>
      </c>
      <c r="B28" s="24"/>
      <c r="C28" s="28"/>
      <c r="D28" s="24"/>
      <c r="E28" s="24"/>
      <c r="F28" s="29"/>
      <c r="G28" s="26" t="str">
        <f aca="false">IF(AND(D28="",E28="",F28=""),"",IF(OR(D28="",E28="",F28=""),"빈칸 확인!",IF(D28=E28,"같은 사람?",IF(OR(COUNTIF(정산!$B$7:$B$10,D28)=0,COUNTIF(정산!$B$7:$B$10,E28)=0),"이름 확인!","✓"))))</f>
        <v/>
      </c>
    </row>
    <row r="29" customFormat="false" ht="15" hidden="false" customHeight="false" outlineLevel="0" collapsed="false">
      <c r="A29" s="22" t="n">
        <v>25</v>
      </c>
      <c r="B29" s="24"/>
      <c r="C29" s="28"/>
      <c r="D29" s="24"/>
      <c r="E29" s="24"/>
      <c r="F29" s="29"/>
      <c r="G29" s="26" t="str">
        <f aca="false">IF(AND(D29="",E29="",F29=""),"",IF(OR(D29="",E29="",F29=""),"빈칸 확인!",IF(D29=E29,"같은 사람?",IF(OR(COUNTIF(정산!$B$7:$B$10,D29)=0,COUNTIF(정산!$B$7:$B$10,E29)=0),"이름 확인!","✓"))))</f>
        <v/>
      </c>
    </row>
    <row r="30" customFormat="false" ht="15" hidden="false" customHeight="false" outlineLevel="0" collapsed="false">
      <c r="A30" s="22" t="n">
        <v>26</v>
      </c>
      <c r="B30" s="24"/>
      <c r="C30" s="28"/>
      <c r="D30" s="24"/>
      <c r="E30" s="24"/>
      <c r="F30" s="29"/>
      <c r="G30" s="26" t="str">
        <f aca="false">IF(AND(D30="",E30="",F30=""),"",IF(OR(D30="",E30="",F30=""),"빈칸 확인!",IF(D30=E30,"같은 사람?",IF(OR(COUNTIF(정산!$B$7:$B$10,D30)=0,COUNTIF(정산!$B$7:$B$10,E30)=0),"이름 확인!","✓"))))</f>
        <v/>
      </c>
    </row>
    <row r="31" customFormat="false" ht="15" hidden="false" customHeight="false" outlineLevel="0" collapsed="false">
      <c r="A31" s="22" t="n">
        <v>27</v>
      </c>
      <c r="B31" s="24"/>
      <c r="C31" s="28"/>
      <c r="D31" s="24"/>
      <c r="E31" s="24"/>
      <c r="F31" s="29"/>
      <c r="G31" s="26" t="str">
        <f aca="false">IF(AND(D31="",E31="",F31=""),"",IF(OR(D31="",E31="",F31=""),"빈칸 확인!",IF(D31=E31,"같은 사람?",IF(OR(COUNTIF(정산!$B$7:$B$10,D31)=0,COUNTIF(정산!$B$7:$B$10,E31)=0),"이름 확인!","✓"))))</f>
        <v/>
      </c>
    </row>
    <row r="32" customFormat="false" ht="15" hidden="false" customHeight="false" outlineLevel="0" collapsed="false">
      <c r="A32" s="22" t="n">
        <v>28</v>
      </c>
      <c r="B32" s="24"/>
      <c r="C32" s="28"/>
      <c r="D32" s="24"/>
      <c r="E32" s="24"/>
      <c r="F32" s="29"/>
      <c r="G32" s="26" t="str">
        <f aca="false">IF(AND(D32="",E32="",F32=""),"",IF(OR(D32="",E32="",F32=""),"빈칸 확인!",IF(D32=E32,"같은 사람?",IF(OR(COUNTIF(정산!$B$7:$B$10,D32)=0,COUNTIF(정산!$B$7:$B$10,E32)=0),"이름 확인!","✓"))))</f>
        <v/>
      </c>
    </row>
    <row r="33" customFormat="false" ht="15" hidden="false" customHeight="false" outlineLevel="0" collapsed="false">
      <c r="A33" s="22" t="n">
        <v>29</v>
      </c>
      <c r="B33" s="24"/>
      <c r="C33" s="28"/>
      <c r="D33" s="24"/>
      <c r="E33" s="24"/>
      <c r="F33" s="29"/>
      <c r="G33" s="26" t="str">
        <f aca="false">IF(AND(D33="",E33="",F33=""),"",IF(OR(D33="",E33="",F33=""),"빈칸 확인!",IF(D33=E33,"같은 사람?",IF(OR(COUNTIF(정산!$B$7:$B$10,D33)=0,COUNTIF(정산!$B$7:$B$10,E33)=0),"이름 확인!","✓"))))</f>
        <v/>
      </c>
    </row>
    <row r="34" customFormat="false" ht="15" hidden="false" customHeight="false" outlineLevel="0" collapsed="false">
      <c r="A34" s="22" t="n">
        <v>30</v>
      </c>
      <c r="B34" s="24"/>
      <c r="C34" s="28"/>
      <c r="D34" s="24"/>
      <c r="E34" s="24"/>
      <c r="F34" s="29"/>
      <c r="G34" s="26" t="str">
        <f aca="false">IF(AND(D34="",E34="",F34=""),"",IF(OR(D34="",E34="",F34=""),"빈칸 확인!",IF(D34=E34,"같은 사람?",IF(OR(COUNTIF(정산!$B$7:$B$10,D34)=0,COUNTIF(정산!$B$7:$B$10,E34)=0),"이름 확인!","✓"))))</f>
        <v/>
      </c>
    </row>
    <row r="35" customFormat="false" ht="15" hidden="false" customHeight="false" outlineLevel="0" collapsed="false">
      <c r="A35" s="22" t="n">
        <v>31</v>
      </c>
      <c r="B35" s="24"/>
      <c r="C35" s="28"/>
      <c r="D35" s="24"/>
      <c r="E35" s="24"/>
      <c r="F35" s="29"/>
      <c r="G35" s="26" t="str">
        <f aca="false">IF(AND(D35="",E35="",F35=""),"",IF(OR(D35="",E35="",F35=""),"빈칸 확인!",IF(D35=E35,"같은 사람?",IF(OR(COUNTIF(정산!$B$7:$B$10,D35)=0,COUNTIF(정산!$B$7:$B$10,E35)=0),"이름 확인!","✓"))))</f>
        <v/>
      </c>
    </row>
    <row r="36" customFormat="false" ht="15" hidden="false" customHeight="false" outlineLevel="0" collapsed="false">
      <c r="A36" s="22" t="n">
        <v>32</v>
      </c>
      <c r="B36" s="24"/>
      <c r="C36" s="28"/>
      <c r="D36" s="24"/>
      <c r="E36" s="24"/>
      <c r="F36" s="29"/>
      <c r="G36" s="26" t="str">
        <f aca="false">IF(AND(D36="",E36="",F36=""),"",IF(OR(D36="",E36="",F36=""),"빈칸 확인!",IF(D36=E36,"같은 사람?",IF(OR(COUNTIF(정산!$B$7:$B$10,D36)=0,COUNTIF(정산!$B$7:$B$10,E36)=0),"이름 확인!","✓"))))</f>
        <v/>
      </c>
    </row>
    <row r="37" customFormat="false" ht="15" hidden="false" customHeight="false" outlineLevel="0" collapsed="false">
      <c r="A37" s="22" t="n">
        <v>33</v>
      </c>
      <c r="B37" s="24"/>
      <c r="C37" s="28"/>
      <c r="D37" s="24"/>
      <c r="E37" s="24"/>
      <c r="F37" s="29"/>
      <c r="G37" s="26" t="str">
        <f aca="false">IF(AND(D37="",E37="",F37=""),"",IF(OR(D37="",E37="",F37=""),"빈칸 확인!",IF(D37=E37,"같은 사람?",IF(OR(COUNTIF(정산!$B$7:$B$10,D37)=0,COUNTIF(정산!$B$7:$B$10,E37)=0),"이름 확인!","✓"))))</f>
        <v/>
      </c>
    </row>
    <row r="38" customFormat="false" ht="15" hidden="false" customHeight="false" outlineLevel="0" collapsed="false">
      <c r="A38" s="22" t="n">
        <v>34</v>
      </c>
      <c r="B38" s="24"/>
      <c r="C38" s="28"/>
      <c r="D38" s="24"/>
      <c r="E38" s="24"/>
      <c r="F38" s="29"/>
      <c r="G38" s="26" t="str">
        <f aca="false">IF(AND(D38="",E38="",F38=""),"",IF(OR(D38="",E38="",F38=""),"빈칸 확인!",IF(D38=E38,"같은 사람?",IF(OR(COUNTIF(정산!$B$7:$B$10,D38)=0,COUNTIF(정산!$B$7:$B$10,E38)=0),"이름 확인!","✓"))))</f>
        <v/>
      </c>
    </row>
    <row r="39" customFormat="false" ht="15" hidden="false" customHeight="false" outlineLevel="0" collapsed="false">
      <c r="A39" s="22" t="n">
        <v>35</v>
      </c>
      <c r="B39" s="24"/>
      <c r="C39" s="28"/>
      <c r="D39" s="24"/>
      <c r="E39" s="24"/>
      <c r="F39" s="29"/>
      <c r="G39" s="26" t="str">
        <f aca="false">IF(AND(D39="",E39="",F39=""),"",IF(OR(D39="",E39="",F39=""),"빈칸 확인!",IF(D39=E39,"같은 사람?",IF(OR(COUNTIF(정산!$B$7:$B$10,D39)=0,COUNTIF(정산!$B$7:$B$10,E39)=0),"이름 확인!","✓"))))</f>
        <v/>
      </c>
    </row>
    <row r="40" customFormat="false" ht="15" hidden="false" customHeight="false" outlineLevel="0" collapsed="false">
      <c r="A40" s="22" t="n">
        <v>36</v>
      </c>
      <c r="B40" s="24"/>
      <c r="C40" s="28"/>
      <c r="D40" s="24"/>
      <c r="E40" s="24"/>
      <c r="F40" s="29"/>
      <c r="G40" s="26" t="str">
        <f aca="false">IF(AND(D40="",E40="",F40=""),"",IF(OR(D40="",E40="",F40=""),"빈칸 확인!",IF(D40=E40,"같은 사람?",IF(OR(COUNTIF(정산!$B$7:$B$10,D40)=0,COUNTIF(정산!$B$7:$B$10,E40)=0),"이름 확인!","✓"))))</f>
        <v/>
      </c>
    </row>
    <row r="41" customFormat="false" ht="15" hidden="false" customHeight="false" outlineLevel="0" collapsed="false">
      <c r="A41" s="22" t="n">
        <v>37</v>
      </c>
      <c r="B41" s="24"/>
      <c r="C41" s="28"/>
      <c r="D41" s="24"/>
      <c r="E41" s="24"/>
      <c r="F41" s="29"/>
      <c r="G41" s="26" t="str">
        <f aca="false">IF(AND(D41="",E41="",F41=""),"",IF(OR(D41="",E41="",F41=""),"빈칸 확인!",IF(D41=E41,"같은 사람?",IF(OR(COUNTIF(정산!$B$7:$B$10,D41)=0,COUNTIF(정산!$B$7:$B$10,E41)=0),"이름 확인!","✓"))))</f>
        <v/>
      </c>
    </row>
    <row r="42" customFormat="false" ht="15" hidden="false" customHeight="false" outlineLevel="0" collapsed="false">
      <c r="A42" s="22" t="n">
        <v>38</v>
      </c>
      <c r="B42" s="24"/>
      <c r="C42" s="28"/>
      <c r="D42" s="24"/>
      <c r="E42" s="24"/>
      <c r="F42" s="29"/>
      <c r="G42" s="26" t="str">
        <f aca="false">IF(AND(D42="",E42="",F42=""),"",IF(OR(D42="",E42="",F42=""),"빈칸 확인!",IF(D42=E42,"같은 사람?",IF(OR(COUNTIF(정산!$B$7:$B$10,D42)=0,COUNTIF(정산!$B$7:$B$10,E42)=0),"이름 확인!","✓"))))</f>
        <v/>
      </c>
    </row>
    <row r="43" customFormat="false" ht="15" hidden="false" customHeight="false" outlineLevel="0" collapsed="false">
      <c r="A43" s="22" t="n">
        <v>39</v>
      </c>
      <c r="B43" s="24"/>
      <c r="C43" s="28"/>
      <c r="D43" s="24"/>
      <c r="E43" s="24"/>
      <c r="F43" s="29"/>
      <c r="G43" s="26" t="str">
        <f aca="false">IF(AND(D43="",E43="",F43=""),"",IF(OR(D43="",E43="",F43=""),"빈칸 확인!",IF(D43=E43,"같은 사람?",IF(OR(COUNTIF(정산!$B$7:$B$10,D43)=0,COUNTIF(정산!$B$7:$B$10,E43)=0),"이름 확인!","✓"))))</f>
        <v/>
      </c>
    </row>
    <row r="44" customFormat="false" ht="15" hidden="false" customHeight="false" outlineLevel="0" collapsed="false">
      <c r="A44" s="22" t="n">
        <v>40</v>
      </c>
      <c r="B44" s="24"/>
      <c r="C44" s="28"/>
      <c r="D44" s="24"/>
      <c r="E44" s="24"/>
      <c r="F44" s="29"/>
      <c r="G44" s="26" t="str">
        <f aca="false">IF(AND(D44="",E44="",F44=""),"",IF(OR(D44="",E44="",F44=""),"빈칸 확인!",IF(D44=E44,"같은 사람?",IF(OR(COUNTIF(정산!$B$7:$B$10,D44)=0,COUNTIF(정산!$B$7:$B$10,E44)=0),"이름 확인!","✓"))))</f>
        <v/>
      </c>
    </row>
    <row r="45" customFormat="false" ht="15" hidden="false" customHeight="false" outlineLevel="0" collapsed="false">
      <c r="A45" s="22" t="n">
        <v>41</v>
      </c>
      <c r="B45" s="24"/>
      <c r="C45" s="28"/>
      <c r="D45" s="24"/>
      <c r="E45" s="24"/>
      <c r="F45" s="29"/>
      <c r="G45" s="26" t="str">
        <f aca="false">IF(AND(D45="",E45="",F45=""),"",IF(OR(D45="",E45="",F45=""),"빈칸 확인!",IF(D45=E45,"같은 사람?",IF(OR(COUNTIF(정산!$B$7:$B$10,D45)=0,COUNTIF(정산!$B$7:$B$10,E45)=0),"이름 확인!","✓"))))</f>
        <v/>
      </c>
    </row>
    <row r="46" customFormat="false" ht="15" hidden="false" customHeight="false" outlineLevel="0" collapsed="false">
      <c r="A46" s="22" t="n">
        <v>42</v>
      </c>
      <c r="B46" s="24"/>
      <c r="C46" s="28"/>
      <c r="D46" s="24"/>
      <c r="E46" s="24"/>
      <c r="F46" s="29"/>
      <c r="G46" s="26" t="str">
        <f aca="false">IF(AND(D46="",E46="",F46=""),"",IF(OR(D46="",E46="",F46=""),"빈칸 확인!",IF(D46=E46,"같은 사람?",IF(OR(COUNTIF(정산!$B$7:$B$10,D46)=0,COUNTIF(정산!$B$7:$B$10,E46)=0),"이름 확인!","✓"))))</f>
        <v/>
      </c>
    </row>
    <row r="47" customFormat="false" ht="15" hidden="false" customHeight="false" outlineLevel="0" collapsed="false">
      <c r="A47" s="22" t="n">
        <v>43</v>
      </c>
      <c r="B47" s="24"/>
      <c r="C47" s="28"/>
      <c r="D47" s="24"/>
      <c r="E47" s="24"/>
      <c r="F47" s="29"/>
      <c r="G47" s="26" t="str">
        <f aca="false">IF(AND(D47="",E47="",F47=""),"",IF(OR(D47="",E47="",F47=""),"빈칸 확인!",IF(D47=E47,"같은 사람?",IF(OR(COUNTIF(정산!$B$7:$B$10,D47)=0,COUNTIF(정산!$B$7:$B$10,E47)=0),"이름 확인!","✓"))))</f>
        <v/>
      </c>
    </row>
    <row r="48" customFormat="false" ht="15" hidden="false" customHeight="false" outlineLevel="0" collapsed="false">
      <c r="A48" s="22" t="n">
        <v>44</v>
      </c>
      <c r="B48" s="24"/>
      <c r="C48" s="28"/>
      <c r="D48" s="24"/>
      <c r="E48" s="24"/>
      <c r="F48" s="29"/>
      <c r="G48" s="26" t="str">
        <f aca="false">IF(AND(D48="",E48="",F48=""),"",IF(OR(D48="",E48="",F48=""),"빈칸 확인!",IF(D48=E48,"같은 사람?",IF(OR(COUNTIF(정산!$B$7:$B$10,D48)=0,COUNTIF(정산!$B$7:$B$10,E48)=0),"이름 확인!","✓"))))</f>
        <v/>
      </c>
    </row>
    <row r="49" customFormat="false" ht="15" hidden="false" customHeight="false" outlineLevel="0" collapsed="false">
      <c r="A49" s="22" t="n">
        <v>45</v>
      </c>
      <c r="B49" s="24"/>
      <c r="C49" s="28"/>
      <c r="D49" s="24"/>
      <c r="E49" s="24"/>
      <c r="F49" s="29"/>
      <c r="G49" s="26" t="str">
        <f aca="false">IF(AND(D49="",E49="",F49=""),"",IF(OR(D49="",E49="",F49=""),"빈칸 확인!",IF(D49=E49,"같은 사람?",IF(OR(COUNTIF(정산!$B$7:$B$10,D49)=0,COUNTIF(정산!$B$7:$B$10,E49)=0),"이름 확인!","✓"))))</f>
        <v/>
      </c>
    </row>
    <row r="50" customFormat="false" ht="15" hidden="false" customHeight="false" outlineLevel="0" collapsed="false">
      <c r="A50" s="22" t="n">
        <v>46</v>
      </c>
      <c r="B50" s="24"/>
      <c r="C50" s="28"/>
      <c r="D50" s="24"/>
      <c r="E50" s="24"/>
      <c r="F50" s="29"/>
      <c r="G50" s="26" t="str">
        <f aca="false">IF(AND(D50="",E50="",F50=""),"",IF(OR(D50="",E50="",F50=""),"빈칸 확인!",IF(D50=E50,"같은 사람?",IF(OR(COUNTIF(정산!$B$7:$B$10,D50)=0,COUNTIF(정산!$B$7:$B$10,E50)=0),"이름 확인!","✓"))))</f>
        <v/>
      </c>
    </row>
    <row r="51" customFormat="false" ht="15" hidden="false" customHeight="false" outlineLevel="0" collapsed="false">
      <c r="A51" s="22" t="n">
        <v>47</v>
      </c>
      <c r="B51" s="24"/>
      <c r="C51" s="28"/>
      <c r="D51" s="24"/>
      <c r="E51" s="24"/>
      <c r="F51" s="29"/>
      <c r="G51" s="26" t="str">
        <f aca="false">IF(AND(D51="",E51="",F51=""),"",IF(OR(D51="",E51="",F51=""),"빈칸 확인!",IF(D51=E51,"같은 사람?",IF(OR(COUNTIF(정산!$B$7:$B$10,D51)=0,COUNTIF(정산!$B$7:$B$10,E51)=0),"이름 확인!","✓"))))</f>
        <v/>
      </c>
    </row>
    <row r="52" customFormat="false" ht="15" hidden="false" customHeight="false" outlineLevel="0" collapsed="false">
      <c r="A52" s="22" t="n">
        <v>48</v>
      </c>
      <c r="B52" s="24"/>
      <c r="C52" s="28"/>
      <c r="D52" s="24"/>
      <c r="E52" s="24"/>
      <c r="F52" s="29"/>
      <c r="G52" s="26" t="str">
        <f aca="false">IF(AND(D52="",E52="",F52=""),"",IF(OR(D52="",E52="",F52=""),"빈칸 확인!",IF(D52=E52,"같은 사람?",IF(OR(COUNTIF(정산!$B$7:$B$10,D52)=0,COUNTIF(정산!$B$7:$B$10,E52)=0),"이름 확인!","✓"))))</f>
        <v/>
      </c>
    </row>
    <row r="53" customFormat="false" ht="15" hidden="false" customHeight="false" outlineLevel="0" collapsed="false">
      <c r="A53" s="22" t="n">
        <v>49</v>
      </c>
      <c r="B53" s="24"/>
      <c r="C53" s="28"/>
      <c r="D53" s="24"/>
      <c r="E53" s="24"/>
      <c r="F53" s="29"/>
      <c r="G53" s="26" t="str">
        <f aca="false">IF(AND(D53="",E53="",F53=""),"",IF(OR(D53="",E53="",F53=""),"빈칸 확인!",IF(D53=E53,"같은 사람?",IF(OR(COUNTIF(정산!$B$7:$B$10,D53)=0,COUNTIF(정산!$B$7:$B$10,E53)=0),"이름 확인!","✓"))))</f>
        <v/>
      </c>
    </row>
    <row r="54" customFormat="false" ht="15" hidden="false" customHeight="false" outlineLevel="0" collapsed="false">
      <c r="A54" s="22" t="n">
        <v>50</v>
      </c>
      <c r="B54" s="24"/>
      <c r="C54" s="28"/>
      <c r="D54" s="24"/>
      <c r="E54" s="24"/>
      <c r="F54" s="29"/>
      <c r="G54" s="26" t="str">
        <f aca="false">IF(AND(D54="",E54="",F54=""),"",IF(OR(D54="",E54="",F54=""),"빈칸 확인!",IF(D54=E54,"같은 사람?",IF(OR(COUNTIF(정산!$B$7:$B$10,D54)=0,COUNTIF(정산!$B$7:$B$10,E54)=0),"이름 확인!","✓"))))</f>
        <v/>
      </c>
    </row>
    <row r="55" customFormat="false" ht="15" hidden="false" customHeight="false" outlineLevel="0" collapsed="false">
      <c r="A55" s="22" t="n">
        <v>51</v>
      </c>
      <c r="B55" s="24"/>
      <c r="C55" s="28"/>
      <c r="D55" s="24"/>
      <c r="E55" s="24"/>
      <c r="F55" s="29"/>
      <c r="G55" s="26" t="str">
        <f aca="false">IF(AND(D55="",E55="",F55=""),"",IF(OR(D55="",E55="",F55=""),"빈칸 확인!",IF(D55=E55,"같은 사람?",IF(OR(COUNTIF(정산!$B$7:$B$10,D55)=0,COUNTIF(정산!$B$7:$B$10,E55)=0),"이름 확인!","✓"))))</f>
        <v/>
      </c>
    </row>
    <row r="56" customFormat="false" ht="15" hidden="false" customHeight="false" outlineLevel="0" collapsed="false">
      <c r="A56" s="22" t="n">
        <v>52</v>
      </c>
      <c r="B56" s="24"/>
      <c r="C56" s="28"/>
      <c r="D56" s="24"/>
      <c r="E56" s="24"/>
      <c r="F56" s="29"/>
      <c r="G56" s="26" t="str">
        <f aca="false">IF(AND(D56="",E56="",F56=""),"",IF(OR(D56="",E56="",F56=""),"빈칸 확인!",IF(D56=E56,"같은 사람?",IF(OR(COUNTIF(정산!$B$7:$B$10,D56)=0,COUNTIF(정산!$B$7:$B$10,E56)=0),"이름 확인!","✓"))))</f>
        <v/>
      </c>
    </row>
    <row r="57" customFormat="false" ht="15" hidden="false" customHeight="false" outlineLevel="0" collapsed="false">
      <c r="A57" s="22" t="n">
        <v>53</v>
      </c>
      <c r="B57" s="24"/>
      <c r="C57" s="28"/>
      <c r="D57" s="24"/>
      <c r="E57" s="24"/>
      <c r="F57" s="29"/>
      <c r="G57" s="26" t="str">
        <f aca="false">IF(AND(D57="",E57="",F57=""),"",IF(OR(D57="",E57="",F57=""),"빈칸 확인!",IF(D57=E57,"같은 사람?",IF(OR(COUNTIF(정산!$B$7:$B$10,D57)=0,COUNTIF(정산!$B$7:$B$10,E57)=0),"이름 확인!","✓"))))</f>
        <v/>
      </c>
    </row>
    <row r="58" customFormat="false" ht="15" hidden="false" customHeight="false" outlineLevel="0" collapsed="false">
      <c r="A58" s="22" t="n">
        <v>54</v>
      </c>
      <c r="B58" s="24"/>
      <c r="C58" s="28"/>
      <c r="D58" s="24"/>
      <c r="E58" s="24"/>
      <c r="F58" s="29"/>
      <c r="G58" s="26" t="str">
        <f aca="false">IF(AND(D58="",E58="",F58=""),"",IF(OR(D58="",E58="",F58=""),"빈칸 확인!",IF(D58=E58,"같은 사람?",IF(OR(COUNTIF(정산!$B$7:$B$10,D58)=0,COUNTIF(정산!$B$7:$B$10,E58)=0),"이름 확인!","✓"))))</f>
        <v/>
      </c>
    </row>
    <row r="59" customFormat="false" ht="15" hidden="false" customHeight="false" outlineLevel="0" collapsed="false">
      <c r="A59" s="22" t="n">
        <v>55</v>
      </c>
      <c r="B59" s="24"/>
      <c r="C59" s="28"/>
      <c r="D59" s="24"/>
      <c r="E59" s="24"/>
      <c r="F59" s="29"/>
      <c r="G59" s="26" t="str">
        <f aca="false">IF(AND(D59="",E59="",F59=""),"",IF(OR(D59="",E59="",F59=""),"빈칸 확인!",IF(D59=E59,"같은 사람?",IF(OR(COUNTIF(정산!$B$7:$B$10,D59)=0,COUNTIF(정산!$B$7:$B$10,E59)=0),"이름 확인!","✓"))))</f>
        <v/>
      </c>
    </row>
    <row r="60" customFormat="false" ht="15" hidden="false" customHeight="false" outlineLevel="0" collapsed="false">
      <c r="A60" s="22" t="n">
        <v>56</v>
      </c>
      <c r="B60" s="24"/>
      <c r="C60" s="28"/>
      <c r="D60" s="24"/>
      <c r="E60" s="24"/>
      <c r="F60" s="29"/>
      <c r="G60" s="26" t="str">
        <f aca="false">IF(AND(D60="",E60="",F60=""),"",IF(OR(D60="",E60="",F60=""),"빈칸 확인!",IF(D60=E60,"같은 사람?",IF(OR(COUNTIF(정산!$B$7:$B$10,D60)=0,COUNTIF(정산!$B$7:$B$10,E60)=0),"이름 확인!","✓"))))</f>
        <v/>
      </c>
    </row>
    <row r="61" customFormat="false" ht="15" hidden="false" customHeight="false" outlineLevel="0" collapsed="false">
      <c r="A61" s="22" t="n">
        <v>57</v>
      </c>
      <c r="B61" s="24"/>
      <c r="C61" s="28"/>
      <c r="D61" s="24"/>
      <c r="E61" s="24"/>
      <c r="F61" s="29"/>
      <c r="G61" s="26" t="str">
        <f aca="false">IF(AND(D61="",E61="",F61=""),"",IF(OR(D61="",E61="",F61=""),"빈칸 확인!",IF(D61=E61,"같은 사람?",IF(OR(COUNTIF(정산!$B$7:$B$10,D61)=0,COUNTIF(정산!$B$7:$B$10,E61)=0),"이름 확인!","✓"))))</f>
        <v/>
      </c>
    </row>
    <row r="62" customFormat="false" ht="15" hidden="false" customHeight="false" outlineLevel="0" collapsed="false">
      <c r="A62" s="22" t="n">
        <v>58</v>
      </c>
      <c r="B62" s="24"/>
      <c r="C62" s="28"/>
      <c r="D62" s="24"/>
      <c r="E62" s="24"/>
      <c r="F62" s="29"/>
      <c r="G62" s="26" t="str">
        <f aca="false">IF(AND(D62="",E62="",F62=""),"",IF(OR(D62="",E62="",F62=""),"빈칸 확인!",IF(D62=E62,"같은 사람?",IF(OR(COUNTIF(정산!$B$7:$B$10,D62)=0,COUNTIF(정산!$B$7:$B$10,E62)=0),"이름 확인!","✓"))))</f>
        <v/>
      </c>
    </row>
    <row r="63" customFormat="false" ht="15" hidden="false" customHeight="false" outlineLevel="0" collapsed="false">
      <c r="A63" s="22" t="n">
        <v>59</v>
      </c>
      <c r="B63" s="24"/>
      <c r="C63" s="28"/>
      <c r="D63" s="24"/>
      <c r="E63" s="24"/>
      <c r="F63" s="29"/>
      <c r="G63" s="26" t="str">
        <f aca="false">IF(AND(D63="",E63="",F63=""),"",IF(OR(D63="",E63="",F63=""),"빈칸 확인!",IF(D63=E63,"같은 사람?",IF(OR(COUNTIF(정산!$B$7:$B$10,D63)=0,COUNTIF(정산!$B$7:$B$10,E63)=0),"이름 확인!","✓"))))</f>
        <v/>
      </c>
    </row>
    <row r="64" customFormat="false" ht="15" hidden="false" customHeight="false" outlineLevel="0" collapsed="false">
      <c r="A64" s="22" t="n">
        <v>60</v>
      </c>
      <c r="B64" s="24"/>
      <c r="C64" s="28"/>
      <c r="D64" s="24"/>
      <c r="E64" s="24"/>
      <c r="F64" s="29"/>
      <c r="G64" s="26" t="str">
        <f aca="false">IF(AND(D64="",E64="",F64=""),"",IF(OR(D64="",E64="",F64=""),"빈칸 확인!",IF(D64=E64,"같은 사람?",IF(OR(COUNTIF(정산!$B$7:$B$10,D64)=0,COUNTIF(정산!$B$7:$B$10,E64)=0),"이름 확인!","✓"))))</f>
        <v/>
      </c>
    </row>
    <row r="65" customFormat="false" ht="15" hidden="false" customHeight="false" outlineLevel="0" collapsed="false">
      <c r="A65" s="22" t="n">
        <v>61</v>
      </c>
      <c r="B65" s="24"/>
      <c r="C65" s="28"/>
      <c r="D65" s="24"/>
      <c r="E65" s="24"/>
      <c r="F65" s="29"/>
      <c r="G65" s="26" t="str">
        <f aca="false">IF(AND(D65="",E65="",F65=""),"",IF(OR(D65="",E65="",F65=""),"빈칸 확인!",IF(D65=E65,"같은 사람?",IF(OR(COUNTIF(정산!$B$7:$B$10,D65)=0,COUNTIF(정산!$B$7:$B$10,E65)=0),"이름 확인!","✓"))))</f>
        <v/>
      </c>
    </row>
    <row r="66" customFormat="false" ht="15" hidden="false" customHeight="false" outlineLevel="0" collapsed="false">
      <c r="A66" s="22" t="n">
        <v>62</v>
      </c>
      <c r="B66" s="24"/>
      <c r="C66" s="28"/>
      <c r="D66" s="24"/>
      <c r="E66" s="24"/>
      <c r="F66" s="29"/>
      <c r="G66" s="26" t="str">
        <f aca="false">IF(AND(D66="",E66="",F66=""),"",IF(OR(D66="",E66="",F66=""),"빈칸 확인!",IF(D66=E66,"같은 사람?",IF(OR(COUNTIF(정산!$B$7:$B$10,D66)=0,COUNTIF(정산!$B$7:$B$10,E66)=0),"이름 확인!","✓"))))</f>
        <v/>
      </c>
    </row>
    <row r="67" customFormat="false" ht="15" hidden="false" customHeight="false" outlineLevel="0" collapsed="false">
      <c r="A67" s="22" t="n">
        <v>63</v>
      </c>
      <c r="B67" s="24"/>
      <c r="C67" s="28"/>
      <c r="D67" s="24"/>
      <c r="E67" s="24"/>
      <c r="F67" s="29"/>
      <c r="G67" s="26" t="str">
        <f aca="false">IF(AND(D67="",E67="",F67=""),"",IF(OR(D67="",E67="",F67=""),"빈칸 확인!",IF(D67=E67,"같은 사람?",IF(OR(COUNTIF(정산!$B$7:$B$10,D67)=0,COUNTIF(정산!$B$7:$B$10,E67)=0),"이름 확인!","✓"))))</f>
        <v/>
      </c>
    </row>
    <row r="68" customFormat="false" ht="15" hidden="false" customHeight="false" outlineLevel="0" collapsed="false">
      <c r="A68" s="22" t="n">
        <v>64</v>
      </c>
      <c r="B68" s="24"/>
      <c r="C68" s="28"/>
      <c r="D68" s="24"/>
      <c r="E68" s="24"/>
      <c r="F68" s="29"/>
      <c r="G68" s="26" t="str">
        <f aca="false">IF(AND(D68="",E68="",F68=""),"",IF(OR(D68="",E68="",F68=""),"빈칸 확인!",IF(D68=E68,"같은 사람?",IF(OR(COUNTIF(정산!$B$7:$B$10,D68)=0,COUNTIF(정산!$B$7:$B$10,E68)=0),"이름 확인!","✓"))))</f>
        <v/>
      </c>
    </row>
    <row r="69" customFormat="false" ht="15" hidden="false" customHeight="false" outlineLevel="0" collapsed="false">
      <c r="A69" s="22" t="n">
        <v>65</v>
      </c>
      <c r="B69" s="24"/>
      <c r="C69" s="28"/>
      <c r="D69" s="24"/>
      <c r="E69" s="24"/>
      <c r="F69" s="29"/>
      <c r="G69" s="26" t="str">
        <f aca="false">IF(AND(D69="",E69="",F69=""),"",IF(OR(D69="",E69="",F69=""),"빈칸 확인!",IF(D69=E69,"같은 사람?",IF(OR(COUNTIF(정산!$B$7:$B$10,D69)=0,COUNTIF(정산!$B$7:$B$10,E69)=0),"이름 확인!","✓"))))</f>
        <v/>
      </c>
    </row>
    <row r="70" customFormat="false" ht="15" hidden="false" customHeight="false" outlineLevel="0" collapsed="false">
      <c r="A70" s="22" t="n">
        <v>66</v>
      </c>
      <c r="B70" s="24"/>
      <c r="C70" s="28"/>
      <c r="D70" s="24"/>
      <c r="E70" s="24"/>
      <c r="F70" s="29"/>
      <c r="G70" s="26" t="str">
        <f aca="false">IF(AND(D70="",E70="",F70=""),"",IF(OR(D70="",E70="",F70=""),"빈칸 확인!",IF(D70=E70,"같은 사람?",IF(OR(COUNTIF(정산!$B$7:$B$10,D70)=0,COUNTIF(정산!$B$7:$B$10,E70)=0),"이름 확인!","✓"))))</f>
        <v/>
      </c>
    </row>
    <row r="71" customFormat="false" ht="15" hidden="false" customHeight="false" outlineLevel="0" collapsed="false">
      <c r="A71" s="22" t="n">
        <v>67</v>
      </c>
      <c r="B71" s="24"/>
      <c r="C71" s="28"/>
      <c r="D71" s="24"/>
      <c r="E71" s="24"/>
      <c r="F71" s="29"/>
      <c r="G71" s="26" t="str">
        <f aca="false">IF(AND(D71="",E71="",F71=""),"",IF(OR(D71="",E71="",F71=""),"빈칸 확인!",IF(D71=E71,"같은 사람?",IF(OR(COUNTIF(정산!$B$7:$B$10,D71)=0,COUNTIF(정산!$B$7:$B$10,E71)=0),"이름 확인!","✓"))))</f>
        <v/>
      </c>
    </row>
    <row r="72" customFormat="false" ht="15" hidden="false" customHeight="false" outlineLevel="0" collapsed="false">
      <c r="A72" s="22" t="n">
        <v>68</v>
      </c>
      <c r="B72" s="24"/>
      <c r="C72" s="28"/>
      <c r="D72" s="24"/>
      <c r="E72" s="24"/>
      <c r="F72" s="29"/>
      <c r="G72" s="26" t="str">
        <f aca="false">IF(AND(D72="",E72="",F72=""),"",IF(OR(D72="",E72="",F72=""),"빈칸 확인!",IF(D72=E72,"같은 사람?",IF(OR(COUNTIF(정산!$B$7:$B$10,D72)=0,COUNTIF(정산!$B$7:$B$10,E72)=0),"이름 확인!","✓"))))</f>
        <v/>
      </c>
    </row>
    <row r="73" customFormat="false" ht="15" hidden="false" customHeight="false" outlineLevel="0" collapsed="false">
      <c r="A73" s="22" t="n">
        <v>69</v>
      </c>
      <c r="B73" s="24"/>
      <c r="C73" s="28"/>
      <c r="D73" s="24"/>
      <c r="E73" s="24"/>
      <c r="F73" s="29"/>
      <c r="G73" s="26" t="str">
        <f aca="false">IF(AND(D73="",E73="",F73=""),"",IF(OR(D73="",E73="",F73=""),"빈칸 확인!",IF(D73=E73,"같은 사람?",IF(OR(COUNTIF(정산!$B$7:$B$10,D73)=0,COUNTIF(정산!$B$7:$B$10,E73)=0),"이름 확인!","✓"))))</f>
        <v/>
      </c>
    </row>
    <row r="74" customFormat="false" ht="15" hidden="false" customHeight="false" outlineLevel="0" collapsed="false">
      <c r="A74" s="22" t="n">
        <v>70</v>
      </c>
      <c r="B74" s="24"/>
      <c r="C74" s="28"/>
      <c r="D74" s="24"/>
      <c r="E74" s="24"/>
      <c r="F74" s="29"/>
      <c r="G74" s="26" t="str">
        <f aca="false">IF(AND(D74="",E74="",F74=""),"",IF(OR(D74="",E74="",F74=""),"빈칸 확인!",IF(D74=E74,"같은 사람?",IF(OR(COUNTIF(정산!$B$7:$B$10,D74)=0,COUNTIF(정산!$B$7:$B$10,E74)=0),"이름 확인!","✓"))))</f>
        <v/>
      </c>
    </row>
    <row r="75" customFormat="false" ht="15" hidden="false" customHeight="false" outlineLevel="0" collapsed="false">
      <c r="A75" s="22" t="n">
        <v>71</v>
      </c>
      <c r="B75" s="24"/>
      <c r="C75" s="28"/>
      <c r="D75" s="24"/>
      <c r="E75" s="24"/>
      <c r="F75" s="29"/>
      <c r="G75" s="26" t="str">
        <f aca="false">IF(AND(D75="",E75="",F75=""),"",IF(OR(D75="",E75="",F75=""),"빈칸 확인!",IF(D75=E75,"같은 사람?",IF(OR(COUNTIF(정산!$B$7:$B$10,D75)=0,COUNTIF(정산!$B$7:$B$10,E75)=0),"이름 확인!","✓"))))</f>
        <v/>
      </c>
    </row>
    <row r="76" customFormat="false" ht="15" hidden="false" customHeight="false" outlineLevel="0" collapsed="false">
      <c r="A76" s="22" t="n">
        <v>72</v>
      </c>
      <c r="B76" s="24"/>
      <c r="C76" s="28"/>
      <c r="D76" s="24"/>
      <c r="E76" s="24"/>
      <c r="F76" s="29"/>
      <c r="G76" s="26" t="str">
        <f aca="false">IF(AND(D76="",E76="",F76=""),"",IF(OR(D76="",E76="",F76=""),"빈칸 확인!",IF(D76=E76,"같은 사람?",IF(OR(COUNTIF(정산!$B$7:$B$10,D76)=0,COUNTIF(정산!$B$7:$B$10,E76)=0),"이름 확인!","✓"))))</f>
        <v/>
      </c>
    </row>
    <row r="77" customFormat="false" ht="15" hidden="false" customHeight="false" outlineLevel="0" collapsed="false">
      <c r="A77" s="22" t="n">
        <v>73</v>
      </c>
      <c r="B77" s="24"/>
      <c r="C77" s="28"/>
      <c r="D77" s="24"/>
      <c r="E77" s="24"/>
      <c r="F77" s="29"/>
      <c r="G77" s="26" t="str">
        <f aca="false">IF(AND(D77="",E77="",F77=""),"",IF(OR(D77="",E77="",F77=""),"빈칸 확인!",IF(D77=E77,"같은 사람?",IF(OR(COUNTIF(정산!$B$7:$B$10,D77)=0,COUNTIF(정산!$B$7:$B$10,E77)=0),"이름 확인!","✓"))))</f>
        <v/>
      </c>
    </row>
    <row r="78" customFormat="false" ht="15" hidden="false" customHeight="false" outlineLevel="0" collapsed="false">
      <c r="A78" s="22" t="n">
        <v>74</v>
      </c>
      <c r="B78" s="24"/>
      <c r="C78" s="28"/>
      <c r="D78" s="24"/>
      <c r="E78" s="24"/>
      <c r="F78" s="29"/>
      <c r="G78" s="26" t="str">
        <f aca="false">IF(AND(D78="",E78="",F78=""),"",IF(OR(D78="",E78="",F78=""),"빈칸 확인!",IF(D78=E78,"같은 사람?",IF(OR(COUNTIF(정산!$B$7:$B$10,D78)=0,COUNTIF(정산!$B$7:$B$10,E78)=0),"이름 확인!","✓"))))</f>
        <v/>
      </c>
    </row>
    <row r="79" customFormat="false" ht="15" hidden="false" customHeight="false" outlineLevel="0" collapsed="false">
      <c r="A79" s="22" t="n">
        <v>75</v>
      </c>
      <c r="B79" s="24"/>
      <c r="C79" s="28"/>
      <c r="D79" s="24"/>
      <c r="E79" s="24"/>
      <c r="F79" s="29"/>
      <c r="G79" s="26" t="str">
        <f aca="false">IF(AND(D79="",E79="",F79=""),"",IF(OR(D79="",E79="",F79=""),"빈칸 확인!",IF(D79=E79,"같은 사람?",IF(OR(COUNTIF(정산!$B$7:$B$10,D79)=0,COUNTIF(정산!$B$7:$B$10,E79)=0),"이름 확인!","✓"))))</f>
        <v/>
      </c>
    </row>
    <row r="80" customFormat="false" ht="15" hidden="false" customHeight="false" outlineLevel="0" collapsed="false">
      <c r="A80" s="22" t="n">
        <v>76</v>
      </c>
      <c r="B80" s="24"/>
      <c r="C80" s="28"/>
      <c r="D80" s="24"/>
      <c r="E80" s="24"/>
      <c r="F80" s="29"/>
      <c r="G80" s="26" t="str">
        <f aca="false">IF(AND(D80="",E80="",F80=""),"",IF(OR(D80="",E80="",F80=""),"빈칸 확인!",IF(D80=E80,"같은 사람?",IF(OR(COUNTIF(정산!$B$7:$B$10,D80)=0,COUNTIF(정산!$B$7:$B$10,E80)=0),"이름 확인!","✓"))))</f>
        <v/>
      </c>
    </row>
    <row r="81" customFormat="false" ht="15" hidden="false" customHeight="false" outlineLevel="0" collapsed="false">
      <c r="A81" s="22" t="n">
        <v>77</v>
      </c>
      <c r="B81" s="24"/>
      <c r="C81" s="28"/>
      <c r="D81" s="24"/>
      <c r="E81" s="24"/>
      <c r="F81" s="29"/>
      <c r="G81" s="26" t="str">
        <f aca="false">IF(AND(D81="",E81="",F81=""),"",IF(OR(D81="",E81="",F81=""),"빈칸 확인!",IF(D81=E81,"같은 사람?",IF(OR(COUNTIF(정산!$B$7:$B$10,D81)=0,COUNTIF(정산!$B$7:$B$10,E81)=0),"이름 확인!","✓"))))</f>
        <v/>
      </c>
    </row>
    <row r="82" customFormat="false" ht="15" hidden="false" customHeight="false" outlineLevel="0" collapsed="false">
      <c r="A82" s="22" t="n">
        <v>78</v>
      </c>
      <c r="B82" s="24"/>
      <c r="C82" s="28"/>
      <c r="D82" s="24"/>
      <c r="E82" s="24"/>
      <c r="F82" s="29"/>
      <c r="G82" s="26" t="str">
        <f aca="false">IF(AND(D82="",E82="",F82=""),"",IF(OR(D82="",E82="",F82=""),"빈칸 확인!",IF(D82=E82,"같은 사람?",IF(OR(COUNTIF(정산!$B$7:$B$10,D82)=0,COUNTIF(정산!$B$7:$B$10,E82)=0),"이름 확인!","✓"))))</f>
        <v/>
      </c>
    </row>
    <row r="83" customFormat="false" ht="15" hidden="false" customHeight="false" outlineLevel="0" collapsed="false">
      <c r="A83" s="22" t="n">
        <v>79</v>
      </c>
      <c r="B83" s="24"/>
      <c r="C83" s="28"/>
      <c r="D83" s="24"/>
      <c r="E83" s="24"/>
      <c r="F83" s="29"/>
      <c r="G83" s="26" t="str">
        <f aca="false">IF(AND(D83="",E83="",F83=""),"",IF(OR(D83="",E83="",F83=""),"빈칸 확인!",IF(D83=E83,"같은 사람?",IF(OR(COUNTIF(정산!$B$7:$B$10,D83)=0,COUNTIF(정산!$B$7:$B$10,E83)=0),"이름 확인!","✓"))))</f>
        <v/>
      </c>
    </row>
    <row r="84" customFormat="false" ht="15" hidden="false" customHeight="false" outlineLevel="0" collapsed="false">
      <c r="A84" s="22" t="n">
        <v>80</v>
      </c>
      <c r="B84" s="24"/>
      <c r="C84" s="28"/>
      <c r="D84" s="24"/>
      <c r="E84" s="24"/>
      <c r="F84" s="29"/>
      <c r="G84" s="26" t="str">
        <f aca="false">IF(AND(D84="",E84="",F84=""),"",IF(OR(D84="",E84="",F84=""),"빈칸 확인!",IF(D84=E84,"같은 사람?",IF(OR(COUNTIF(정산!$B$7:$B$10,D84)=0,COUNTIF(정산!$B$7:$B$10,E84)=0),"이름 확인!","✓"))))</f>
        <v/>
      </c>
    </row>
    <row r="85" customFormat="false" ht="15" hidden="false" customHeight="false" outlineLevel="0" collapsed="false">
      <c r="A85" s="22" t="n">
        <v>81</v>
      </c>
      <c r="B85" s="24"/>
      <c r="C85" s="28"/>
      <c r="D85" s="24"/>
      <c r="E85" s="24"/>
      <c r="F85" s="29"/>
      <c r="G85" s="26" t="str">
        <f aca="false">IF(AND(D85="",E85="",F85=""),"",IF(OR(D85="",E85="",F85=""),"빈칸 확인!",IF(D85=E85,"같은 사람?",IF(OR(COUNTIF(정산!$B$7:$B$10,D85)=0,COUNTIF(정산!$B$7:$B$10,E85)=0),"이름 확인!","✓"))))</f>
        <v/>
      </c>
    </row>
    <row r="86" customFormat="false" ht="15" hidden="false" customHeight="false" outlineLevel="0" collapsed="false">
      <c r="A86" s="22" t="n">
        <v>82</v>
      </c>
      <c r="B86" s="24"/>
      <c r="C86" s="28"/>
      <c r="D86" s="24"/>
      <c r="E86" s="24"/>
      <c r="F86" s="29"/>
      <c r="G86" s="26" t="str">
        <f aca="false">IF(AND(D86="",E86="",F86=""),"",IF(OR(D86="",E86="",F86=""),"빈칸 확인!",IF(D86=E86,"같은 사람?",IF(OR(COUNTIF(정산!$B$7:$B$10,D86)=0,COUNTIF(정산!$B$7:$B$10,E86)=0),"이름 확인!","✓"))))</f>
        <v/>
      </c>
    </row>
    <row r="87" customFormat="false" ht="15" hidden="false" customHeight="false" outlineLevel="0" collapsed="false">
      <c r="A87" s="22" t="n">
        <v>83</v>
      </c>
      <c r="B87" s="24"/>
      <c r="C87" s="28"/>
      <c r="D87" s="24"/>
      <c r="E87" s="24"/>
      <c r="F87" s="29"/>
      <c r="G87" s="26" t="str">
        <f aca="false">IF(AND(D87="",E87="",F87=""),"",IF(OR(D87="",E87="",F87=""),"빈칸 확인!",IF(D87=E87,"같은 사람?",IF(OR(COUNTIF(정산!$B$7:$B$10,D87)=0,COUNTIF(정산!$B$7:$B$10,E87)=0),"이름 확인!","✓"))))</f>
        <v/>
      </c>
    </row>
    <row r="88" customFormat="false" ht="15" hidden="false" customHeight="false" outlineLevel="0" collapsed="false">
      <c r="A88" s="22" t="n">
        <v>84</v>
      </c>
      <c r="B88" s="24"/>
      <c r="C88" s="28"/>
      <c r="D88" s="24"/>
      <c r="E88" s="24"/>
      <c r="F88" s="29"/>
      <c r="G88" s="26" t="str">
        <f aca="false">IF(AND(D88="",E88="",F88=""),"",IF(OR(D88="",E88="",F88=""),"빈칸 확인!",IF(D88=E88,"같은 사람?",IF(OR(COUNTIF(정산!$B$7:$B$10,D88)=0,COUNTIF(정산!$B$7:$B$10,E88)=0),"이름 확인!","✓"))))</f>
        <v/>
      </c>
    </row>
    <row r="89" customFormat="false" ht="15" hidden="false" customHeight="false" outlineLevel="0" collapsed="false">
      <c r="A89" s="22" t="n">
        <v>85</v>
      </c>
      <c r="B89" s="24"/>
      <c r="C89" s="28"/>
      <c r="D89" s="24"/>
      <c r="E89" s="24"/>
      <c r="F89" s="29"/>
      <c r="G89" s="26" t="str">
        <f aca="false">IF(AND(D89="",E89="",F89=""),"",IF(OR(D89="",E89="",F89=""),"빈칸 확인!",IF(D89=E89,"같은 사람?",IF(OR(COUNTIF(정산!$B$7:$B$10,D89)=0,COUNTIF(정산!$B$7:$B$10,E89)=0),"이름 확인!","✓"))))</f>
        <v/>
      </c>
    </row>
    <row r="90" customFormat="false" ht="15" hidden="false" customHeight="false" outlineLevel="0" collapsed="false">
      <c r="A90" s="22" t="n">
        <v>86</v>
      </c>
      <c r="B90" s="24"/>
      <c r="C90" s="28"/>
      <c r="D90" s="24"/>
      <c r="E90" s="24"/>
      <c r="F90" s="29"/>
      <c r="G90" s="26" t="str">
        <f aca="false">IF(AND(D90="",E90="",F90=""),"",IF(OR(D90="",E90="",F90=""),"빈칸 확인!",IF(D90=E90,"같은 사람?",IF(OR(COUNTIF(정산!$B$7:$B$10,D90)=0,COUNTIF(정산!$B$7:$B$10,E90)=0),"이름 확인!","✓"))))</f>
        <v/>
      </c>
    </row>
    <row r="91" customFormat="false" ht="15" hidden="false" customHeight="false" outlineLevel="0" collapsed="false">
      <c r="A91" s="22" t="n">
        <v>87</v>
      </c>
      <c r="B91" s="24"/>
      <c r="C91" s="28"/>
      <c r="D91" s="24"/>
      <c r="E91" s="24"/>
      <c r="F91" s="29"/>
      <c r="G91" s="26" t="str">
        <f aca="false">IF(AND(D91="",E91="",F91=""),"",IF(OR(D91="",E91="",F91=""),"빈칸 확인!",IF(D91=E91,"같은 사람?",IF(OR(COUNTIF(정산!$B$7:$B$10,D91)=0,COUNTIF(정산!$B$7:$B$10,E91)=0),"이름 확인!","✓"))))</f>
        <v/>
      </c>
    </row>
    <row r="92" customFormat="false" ht="15" hidden="false" customHeight="false" outlineLevel="0" collapsed="false">
      <c r="A92" s="22" t="n">
        <v>88</v>
      </c>
      <c r="B92" s="24"/>
      <c r="C92" s="28"/>
      <c r="D92" s="24"/>
      <c r="E92" s="24"/>
      <c r="F92" s="29"/>
      <c r="G92" s="26" t="str">
        <f aca="false">IF(AND(D92="",E92="",F92=""),"",IF(OR(D92="",E92="",F92=""),"빈칸 확인!",IF(D92=E92,"같은 사람?",IF(OR(COUNTIF(정산!$B$7:$B$10,D92)=0,COUNTIF(정산!$B$7:$B$10,E92)=0),"이름 확인!","✓"))))</f>
        <v/>
      </c>
    </row>
    <row r="93" customFormat="false" ht="15" hidden="false" customHeight="false" outlineLevel="0" collapsed="false">
      <c r="A93" s="22" t="n">
        <v>89</v>
      </c>
      <c r="B93" s="24"/>
      <c r="C93" s="28"/>
      <c r="D93" s="24"/>
      <c r="E93" s="24"/>
      <c r="F93" s="29"/>
      <c r="G93" s="26" t="str">
        <f aca="false">IF(AND(D93="",E93="",F93=""),"",IF(OR(D93="",E93="",F93=""),"빈칸 확인!",IF(D93=E93,"같은 사람?",IF(OR(COUNTIF(정산!$B$7:$B$10,D93)=0,COUNTIF(정산!$B$7:$B$10,E93)=0),"이름 확인!","✓"))))</f>
        <v/>
      </c>
    </row>
    <row r="94" customFormat="false" ht="15" hidden="false" customHeight="false" outlineLevel="0" collapsed="false">
      <c r="A94" s="22" t="n">
        <v>90</v>
      </c>
      <c r="B94" s="24"/>
      <c r="C94" s="28"/>
      <c r="D94" s="24"/>
      <c r="E94" s="24"/>
      <c r="F94" s="29"/>
      <c r="G94" s="26" t="str">
        <f aca="false">IF(AND(D94="",E94="",F94=""),"",IF(OR(D94="",E94="",F94=""),"빈칸 확인!",IF(D94=E94,"같은 사람?",IF(OR(COUNTIF(정산!$B$7:$B$10,D94)=0,COUNTIF(정산!$B$7:$B$10,E94)=0),"이름 확인!","✓"))))</f>
        <v/>
      </c>
    </row>
    <row r="95" customFormat="false" ht="15" hidden="false" customHeight="false" outlineLevel="0" collapsed="false">
      <c r="A95" s="22" t="n">
        <v>91</v>
      </c>
      <c r="B95" s="24"/>
      <c r="C95" s="28"/>
      <c r="D95" s="24"/>
      <c r="E95" s="24"/>
      <c r="F95" s="29"/>
      <c r="G95" s="26" t="str">
        <f aca="false">IF(AND(D95="",E95="",F95=""),"",IF(OR(D95="",E95="",F95=""),"빈칸 확인!",IF(D95=E95,"같은 사람?",IF(OR(COUNTIF(정산!$B$7:$B$10,D95)=0,COUNTIF(정산!$B$7:$B$10,E95)=0),"이름 확인!","✓"))))</f>
        <v/>
      </c>
    </row>
    <row r="96" customFormat="false" ht="15" hidden="false" customHeight="false" outlineLevel="0" collapsed="false">
      <c r="A96" s="22" t="n">
        <v>92</v>
      </c>
      <c r="B96" s="24"/>
      <c r="C96" s="28"/>
      <c r="D96" s="24"/>
      <c r="E96" s="24"/>
      <c r="F96" s="29"/>
      <c r="G96" s="26" t="str">
        <f aca="false">IF(AND(D96="",E96="",F96=""),"",IF(OR(D96="",E96="",F96=""),"빈칸 확인!",IF(D96=E96,"같은 사람?",IF(OR(COUNTIF(정산!$B$7:$B$10,D96)=0,COUNTIF(정산!$B$7:$B$10,E96)=0),"이름 확인!","✓"))))</f>
        <v/>
      </c>
    </row>
    <row r="97" customFormat="false" ht="15" hidden="false" customHeight="false" outlineLevel="0" collapsed="false">
      <c r="A97" s="22" t="n">
        <v>93</v>
      </c>
      <c r="B97" s="24"/>
      <c r="C97" s="28"/>
      <c r="D97" s="24"/>
      <c r="E97" s="24"/>
      <c r="F97" s="29"/>
      <c r="G97" s="26" t="str">
        <f aca="false">IF(AND(D97="",E97="",F97=""),"",IF(OR(D97="",E97="",F97=""),"빈칸 확인!",IF(D97=E97,"같은 사람?",IF(OR(COUNTIF(정산!$B$7:$B$10,D97)=0,COUNTIF(정산!$B$7:$B$10,E97)=0),"이름 확인!","✓"))))</f>
        <v/>
      </c>
    </row>
    <row r="98" customFormat="false" ht="15" hidden="false" customHeight="false" outlineLevel="0" collapsed="false">
      <c r="A98" s="22" t="n">
        <v>94</v>
      </c>
      <c r="B98" s="24"/>
      <c r="C98" s="28"/>
      <c r="D98" s="24"/>
      <c r="E98" s="24"/>
      <c r="F98" s="29"/>
      <c r="G98" s="26" t="str">
        <f aca="false">IF(AND(D98="",E98="",F98=""),"",IF(OR(D98="",E98="",F98=""),"빈칸 확인!",IF(D98=E98,"같은 사람?",IF(OR(COUNTIF(정산!$B$7:$B$10,D98)=0,COUNTIF(정산!$B$7:$B$10,E98)=0),"이름 확인!","✓"))))</f>
        <v/>
      </c>
    </row>
    <row r="99" customFormat="false" ht="15" hidden="false" customHeight="false" outlineLevel="0" collapsed="false">
      <c r="A99" s="22" t="n">
        <v>95</v>
      </c>
      <c r="B99" s="24"/>
      <c r="C99" s="28"/>
      <c r="D99" s="24"/>
      <c r="E99" s="24"/>
      <c r="F99" s="29"/>
      <c r="G99" s="26" t="str">
        <f aca="false">IF(AND(D99="",E99="",F99=""),"",IF(OR(D99="",E99="",F99=""),"빈칸 확인!",IF(D99=E99,"같은 사람?",IF(OR(COUNTIF(정산!$B$7:$B$10,D99)=0,COUNTIF(정산!$B$7:$B$10,E99)=0),"이름 확인!","✓"))))</f>
        <v/>
      </c>
    </row>
    <row r="100" customFormat="false" ht="15" hidden="false" customHeight="false" outlineLevel="0" collapsed="false">
      <c r="A100" s="22" t="n">
        <v>96</v>
      </c>
      <c r="B100" s="24"/>
      <c r="C100" s="28"/>
      <c r="D100" s="24"/>
      <c r="E100" s="24"/>
      <c r="F100" s="29"/>
      <c r="G100" s="26" t="str">
        <f aca="false">IF(AND(D100="",E100="",F100=""),"",IF(OR(D100="",E100="",F100=""),"빈칸 확인!",IF(D100=E100,"같은 사람?",IF(OR(COUNTIF(정산!$B$7:$B$10,D100)=0,COUNTIF(정산!$B$7:$B$10,E100)=0),"이름 확인!","✓"))))</f>
        <v/>
      </c>
    </row>
    <row r="101" customFormat="false" ht="15" hidden="false" customHeight="false" outlineLevel="0" collapsed="false">
      <c r="A101" s="22" t="n">
        <v>97</v>
      </c>
      <c r="B101" s="24"/>
      <c r="C101" s="28"/>
      <c r="D101" s="24"/>
      <c r="E101" s="24"/>
      <c r="F101" s="29"/>
      <c r="G101" s="26" t="str">
        <f aca="false">IF(AND(D101="",E101="",F101=""),"",IF(OR(D101="",E101="",F101=""),"빈칸 확인!",IF(D101=E101,"같은 사람?",IF(OR(COUNTIF(정산!$B$7:$B$10,D101)=0,COUNTIF(정산!$B$7:$B$10,E101)=0),"이름 확인!","✓"))))</f>
        <v/>
      </c>
    </row>
    <row r="102" customFormat="false" ht="15" hidden="false" customHeight="false" outlineLevel="0" collapsed="false">
      <c r="A102" s="22" t="n">
        <v>98</v>
      </c>
      <c r="B102" s="24"/>
      <c r="C102" s="28"/>
      <c r="D102" s="24"/>
      <c r="E102" s="24"/>
      <c r="F102" s="29"/>
      <c r="G102" s="26" t="str">
        <f aca="false">IF(AND(D102="",E102="",F102=""),"",IF(OR(D102="",E102="",F102=""),"빈칸 확인!",IF(D102=E102,"같은 사람?",IF(OR(COUNTIF(정산!$B$7:$B$10,D102)=0,COUNTIF(정산!$B$7:$B$10,E102)=0),"이름 확인!","✓"))))</f>
        <v/>
      </c>
    </row>
    <row r="103" customFormat="false" ht="15" hidden="false" customHeight="false" outlineLevel="0" collapsed="false">
      <c r="A103" s="22" t="n">
        <v>99</v>
      </c>
      <c r="B103" s="24"/>
      <c r="C103" s="28"/>
      <c r="D103" s="24"/>
      <c r="E103" s="24"/>
      <c r="F103" s="29"/>
      <c r="G103" s="26" t="str">
        <f aca="false">IF(AND(D103="",E103="",F103=""),"",IF(OR(D103="",E103="",F103=""),"빈칸 확인!",IF(D103=E103,"같은 사람?",IF(OR(COUNTIF(정산!$B$7:$B$10,D103)=0,COUNTIF(정산!$B$7:$B$10,E103)=0),"이름 확인!","✓"))))</f>
        <v/>
      </c>
    </row>
    <row r="104" customFormat="false" ht="15" hidden="false" customHeight="false" outlineLevel="0" collapsed="false">
      <c r="A104" s="22" t="n">
        <v>100</v>
      </c>
      <c r="B104" s="24"/>
      <c r="C104" s="28"/>
      <c r="D104" s="24"/>
      <c r="E104" s="24"/>
      <c r="F104" s="29"/>
      <c r="G104" s="26" t="str">
        <f aca="false">IF(AND(D104="",E104="",F104=""),"",IF(OR(D104="",E104="",F104=""),"빈칸 확인!",IF(D104=E104,"같은 사람?",IF(OR(COUNTIF(정산!$B$7:$B$10,D104)=0,COUNTIF(정산!$B$7:$B$10,E104)=0),"이름 확인!","✓"))))</f>
        <v/>
      </c>
    </row>
  </sheetData>
  <conditionalFormatting sqref="G5:G104">
    <cfRule type="expression" priority="2" aboveAverage="0" equalAverage="0" bottom="0" percent="0" rank="0" text="" dxfId="2">
      <formula>G5="✓"</formula>
    </cfRule>
  </conditionalFormatting>
  <dataValidations count="2">
    <dataValidation allowBlank="true" error="목록에서 골라주세요." errorStyle="stop" errorTitle="이름" operator="between" showDropDown="false" showErrorMessage="true" showInputMessage="false" sqref="D5:E104" type="list">
      <formula1>정산!$B$7:$B$10</formula1>
      <formula2>0</formula2>
    </dataValidation>
    <dataValidation allowBlank="true" error="0보다 큰 금액을 입력해주세요." errorStyle="stop" errorTitle="금액" operator="greaterThan" showDropDown="false" showErrorMessage="true" showInputMessage="false" sqref="F5:F1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2026-10-03T15:12:01Z</dcterms:created>
  <dc:creator>openpyxl</dc:creator>
  <dc:description/>
  <dc:language>en-US</dc:language>
  <cp:lastModifiedBy/>
  <dcterms:modified xsi:type="dcterms:W3CDTF">2026-10-03T15:12:04Z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